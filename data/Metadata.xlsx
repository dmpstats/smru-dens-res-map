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as581\AppData\Local\Box\Box Edit\Documents\6hR+uDbVL0CtUSYxvfUmUA==\"/>
    </mc:Choice>
  </mc:AlternateContent>
  <xr:revisionPtr revIDLastSave="0" documentId="13_ncr:1_{DD5259EE-F470-47C9-B74B-3355AE26F612}" xr6:coauthVersionLast="47" xr6:coauthVersionMax="47" xr10:uidLastSave="{00000000-0000-0000-0000-000000000000}"/>
  <bookViews>
    <workbookView xWindow="-120" yWindow="-120" windowWidth="29040" windowHeight="15840" tabRatio="825" xr2:uid="{00000000-000D-0000-FFFF-FFFF00000000}"/>
  </bookViews>
  <sheets>
    <sheet name="Citation" sheetId="4" r:id="rId1"/>
    <sheet name="Processed data sources" sheetId="3" r:id="rId2"/>
    <sheet name="Extracted density estimates" sheetId="2" r:id="rId3"/>
  </sheets>
  <definedNames>
    <definedName name="_xlnm._FilterDatabase" localSheetId="2" hidden="1">'Extracted density estimates'!$A$1:$Q$1</definedName>
    <definedName name="_xlnm._FilterDatabase" localSheetId="1" hidden="1">'Processed data sources'!$A$1:$AJ$49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3" l="1"/>
  <c r="Q4" i="3"/>
  <c r="Q5" i="3"/>
  <c r="Q6" i="3"/>
  <c r="Q7" i="3"/>
  <c r="Q8" i="3"/>
  <c r="Q9" i="3"/>
  <c r="Q10" i="3"/>
  <c r="Q12" i="3"/>
  <c r="Q17" i="3"/>
  <c r="Q19" i="3"/>
  <c r="Q20" i="3"/>
  <c r="Q21" i="3"/>
  <c r="Q23" i="3"/>
  <c r="Q25" i="3"/>
  <c r="Q26" i="3"/>
  <c r="Q27" i="3"/>
  <c r="Q38" i="3"/>
  <c r="Q42" i="3"/>
  <c r="Q43" i="3"/>
  <c r="S49" i="3"/>
  <c r="T49" i="3"/>
  <c r="U49" i="3"/>
  <c r="V49" i="3"/>
  <c r="W49" i="3"/>
  <c r="X49" i="3"/>
  <c r="Y49" i="3"/>
  <c r="Z49" i="3"/>
  <c r="AA49" i="3"/>
  <c r="AB49" i="3"/>
  <c r="AC49" i="3"/>
  <c r="AD49" i="3"/>
  <c r="AE49" i="3"/>
  <c r="AF49" i="3"/>
  <c r="AG49" i="3"/>
  <c r="D441" i="2"/>
  <c r="D72" i="2"/>
  <c r="D71" i="2"/>
  <c r="D70" i="2"/>
  <c r="D69" i="2"/>
  <c r="D68" i="2"/>
  <c r="D67" i="2"/>
  <c r="D66" i="2"/>
  <c r="D130" i="2"/>
  <c r="D129" i="2"/>
  <c r="D128" i="2"/>
  <c r="D127" i="2"/>
  <c r="D126" i="2"/>
  <c r="D125" i="2"/>
  <c r="D124" i="2"/>
  <c r="D123" i="2"/>
  <c r="D122" i="2"/>
  <c r="D121" i="2"/>
  <c r="F3" i="2"/>
  <c r="K442" i="2"/>
  <c r="L442" i="2"/>
  <c r="K440" i="2"/>
  <c r="L440" i="2"/>
  <c r="K439" i="2"/>
  <c r="L439" i="2"/>
  <c r="F443" i="2"/>
  <c r="F442" i="2"/>
  <c r="F440" i="2"/>
  <c r="F439" i="2"/>
  <c r="D438" i="2"/>
  <c r="D444" i="2"/>
  <c r="K443" i="2"/>
  <c r="L443" i="2"/>
  <c r="F381" i="2"/>
  <c r="F385" i="2"/>
  <c r="F387" i="2"/>
  <c r="F389" i="2"/>
  <c r="F391" i="2"/>
  <c r="F393" i="2"/>
  <c r="F395" i="2"/>
  <c r="F397" i="2"/>
  <c r="F399" i="2"/>
  <c r="F383" i="2"/>
  <c r="F401" i="2"/>
  <c r="F382" i="2"/>
  <c r="F386" i="2"/>
  <c r="F388" i="2"/>
  <c r="F390" i="2"/>
  <c r="F392" i="2"/>
  <c r="F394" i="2"/>
  <c r="F396" i="2"/>
  <c r="F398" i="2"/>
  <c r="F400" i="2"/>
  <c r="F384" i="2"/>
  <c r="F402" i="2"/>
  <c r="F403" i="2"/>
  <c r="F407" i="2"/>
  <c r="F409" i="2"/>
  <c r="F411" i="2"/>
  <c r="F413" i="2"/>
  <c r="F415" i="2"/>
  <c r="F417" i="2"/>
  <c r="F419" i="2"/>
  <c r="F421" i="2"/>
  <c r="F405" i="2"/>
  <c r="F423" i="2"/>
  <c r="F404" i="2"/>
  <c r="F408" i="2"/>
  <c r="F410" i="2"/>
  <c r="F412" i="2"/>
  <c r="F414" i="2"/>
  <c r="F416" i="2"/>
  <c r="F418" i="2"/>
  <c r="F420" i="2"/>
  <c r="F422" i="2"/>
  <c r="F406" i="2"/>
  <c r="F424" i="2"/>
  <c r="F436" i="2"/>
  <c r="F437" i="2"/>
  <c r="F370" i="2"/>
  <c r="F372" i="2"/>
  <c r="F373" i="2"/>
  <c r="F374" i="2"/>
  <c r="F375" i="2"/>
  <c r="F376" i="2"/>
  <c r="F377" i="2"/>
  <c r="F378" i="2"/>
  <c r="F379" i="2"/>
  <c r="F371" i="2"/>
  <c r="F380" i="2"/>
  <c r="F425" i="2"/>
  <c r="F427" i="2"/>
  <c r="F428" i="2"/>
  <c r="F429" i="2"/>
  <c r="F430" i="2"/>
  <c r="F431" i="2"/>
  <c r="F432" i="2"/>
  <c r="F433" i="2"/>
  <c r="F434" i="2"/>
  <c r="F426" i="2"/>
  <c r="F435" i="2"/>
  <c r="L445" i="2"/>
  <c r="K445" i="2"/>
  <c r="F445" i="2"/>
  <c r="L367" i="2"/>
  <c r="L368" i="2"/>
  <c r="L369" i="2"/>
  <c r="K367" i="2"/>
  <c r="K368" i="2"/>
  <c r="K369" i="2"/>
  <c r="F367" i="2"/>
  <c r="F368" i="2"/>
  <c r="F369" i="2"/>
  <c r="L366" i="2"/>
  <c r="K366" i="2"/>
  <c r="F366" i="2"/>
  <c r="L365" i="2"/>
  <c r="K365" i="2"/>
  <c r="F365" i="2"/>
  <c r="L364" i="2"/>
  <c r="K364" i="2"/>
  <c r="F364" i="2"/>
  <c r="L363" i="2"/>
  <c r="L357" i="2"/>
  <c r="L358" i="2"/>
  <c r="L359" i="2"/>
  <c r="L360" i="2"/>
  <c r="L361" i="2"/>
  <c r="L362" i="2"/>
  <c r="K363" i="2"/>
  <c r="K357" i="2"/>
  <c r="K358" i="2"/>
  <c r="K359" i="2"/>
  <c r="K360" i="2"/>
  <c r="K361" i="2"/>
  <c r="K362" i="2"/>
  <c r="F363" i="2"/>
  <c r="F357" i="2"/>
  <c r="F358" i="2"/>
  <c r="F359" i="2"/>
  <c r="F360" i="2"/>
  <c r="F361" i="2"/>
  <c r="F362" i="2"/>
  <c r="L356" i="2"/>
  <c r="K356" i="2"/>
  <c r="F356" i="2"/>
  <c r="D282" i="2"/>
  <c r="F282" i="2" s="1"/>
  <c r="D281" i="2"/>
  <c r="F281" i="2" s="1"/>
  <c r="F274" i="2"/>
  <c r="F278" i="2"/>
  <c r="F280" i="2"/>
  <c r="F276" i="2"/>
  <c r="F277" i="2"/>
  <c r="F275" i="2"/>
  <c r="D279" i="2"/>
  <c r="L284" i="2"/>
  <c r="L285" i="2"/>
  <c r="L286" i="2"/>
  <c r="L337" i="2"/>
  <c r="L338" i="2"/>
  <c r="L335" i="2"/>
  <c r="L336" i="2"/>
  <c r="L287" i="2"/>
  <c r="L288" i="2"/>
  <c r="L289" i="2"/>
  <c r="L290" i="2"/>
  <c r="L291" i="2"/>
  <c r="L293" i="2"/>
  <c r="L294" i="2"/>
  <c r="L295" i="2"/>
  <c r="L297" i="2"/>
  <c r="L298" i="2"/>
  <c r="L299" i="2"/>
  <c r="L301" i="2"/>
  <c r="L302" i="2"/>
  <c r="L303" i="2"/>
  <c r="L305" i="2"/>
  <c r="L306" i="2"/>
  <c r="L307" i="2"/>
  <c r="L309" i="2"/>
  <c r="L310" i="2"/>
  <c r="L311" i="2"/>
  <c r="L313" i="2"/>
  <c r="L314" i="2"/>
  <c r="L315" i="2"/>
  <c r="L317" i="2"/>
  <c r="L318" i="2"/>
  <c r="L319" i="2"/>
  <c r="L321" i="2"/>
  <c r="L322" i="2"/>
  <c r="L323" i="2"/>
  <c r="L325" i="2"/>
  <c r="L326" i="2"/>
  <c r="L327" i="2"/>
  <c r="L328" i="2"/>
  <c r="L330" i="2"/>
  <c r="L331" i="2"/>
  <c r="L332" i="2"/>
  <c r="L333" i="2"/>
  <c r="K293" i="2"/>
  <c r="K294" i="2"/>
  <c r="K295" i="2"/>
  <c r="K297" i="2"/>
  <c r="K298" i="2"/>
  <c r="K299" i="2"/>
  <c r="K301" i="2"/>
  <c r="K302" i="2"/>
  <c r="K303" i="2"/>
  <c r="K305" i="2"/>
  <c r="K306" i="2"/>
  <c r="K307" i="2"/>
  <c r="K309" i="2"/>
  <c r="K310" i="2"/>
  <c r="K311" i="2"/>
  <c r="K313" i="2"/>
  <c r="K314" i="2"/>
  <c r="K315" i="2"/>
  <c r="K317" i="2"/>
  <c r="K318" i="2"/>
  <c r="K319" i="2"/>
  <c r="K321" i="2"/>
  <c r="K322" i="2"/>
  <c r="K323" i="2"/>
  <c r="K325" i="2"/>
  <c r="K326" i="2"/>
  <c r="K327" i="2"/>
  <c r="K328" i="2"/>
  <c r="K330" i="2"/>
  <c r="K331" i="2"/>
  <c r="K332" i="2"/>
  <c r="K333" i="2"/>
  <c r="K284" i="2"/>
  <c r="K285" i="2"/>
  <c r="K286" i="2"/>
  <c r="K337" i="2"/>
  <c r="K338" i="2"/>
  <c r="K335" i="2"/>
  <c r="K336" i="2"/>
  <c r="K287" i="2"/>
  <c r="K288" i="2"/>
  <c r="K289" i="2"/>
  <c r="K290" i="2"/>
  <c r="K291" i="2"/>
  <c r="L283" i="2"/>
  <c r="K283" i="2"/>
  <c r="F334" i="2"/>
  <c r="F329" i="2"/>
  <c r="F324" i="2"/>
  <c r="F320" i="2"/>
  <c r="F316" i="2"/>
  <c r="F312" i="2"/>
  <c r="F308" i="2"/>
  <c r="F304" i="2"/>
  <c r="F300" i="2"/>
  <c r="F296" i="2"/>
  <c r="F292" i="2"/>
  <c r="F268" i="2"/>
  <c r="F273" i="2"/>
  <c r="F270" i="2"/>
  <c r="F271" i="2"/>
  <c r="F272" i="2"/>
  <c r="F269" i="2"/>
  <c r="F267" i="2"/>
  <c r="K269" i="2"/>
  <c r="L269" i="2"/>
  <c r="K267" i="2"/>
  <c r="L267" i="2"/>
  <c r="F266" i="2"/>
  <c r="K266" i="2"/>
  <c r="L266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L262" i="2"/>
  <c r="K262" i="2"/>
  <c r="F262" i="2"/>
  <c r="F265" i="2"/>
  <c r="F264" i="2"/>
  <c r="F263" i="2"/>
  <c r="D261" i="2"/>
  <c r="F259" i="2"/>
  <c r="F260" i="2"/>
  <c r="F258" i="2"/>
  <c r="F10" i="2"/>
  <c r="F22" i="2"/>
  <c r="F11" i="2"/>
  <c r="K444" i="2" l="1"/>
  <c r="L444" i="2"/>
  <c r="F444" i="2"/>
  <c r="K438" i="2"/>
  <c r="L438" i="2"/>
  <c r="F438" i="2"/>
  <c r="K441" i="2"/>
  <c r="L441" i="2"/>
  <c r="F441" i="2"/>
  <c r="K279" i="2"/>
  <c r="L279" i="2"/>
  <c r="F279" i="2"/>
  <c r="L261" i="2"/>
  <c r="K261" i="2"/>
  <c r="F261" i="2"/>
  <c r="F16" i="2"/>
  <c r="F12" i="2"/>
  <c r="F13" i="2"/>
  <c r="F14" i="2"/>
  <c r="F18" i="2"/>
  <c r="F15" i="2"/>
  <c r="F17" i="2"/>
  <c r="F24" i="2"/>
  <c r="F20" i="2"/>
  <c r="F23" i="2"/>
  <c r="F21" i="2"/>
  <c r="F19" i="2"/>
  <c r="F25" i="2"/>
  <c r="F29" i="2"/>
  <c r="F28" i="2"/>
  <c r="F27" i="2"/>
  <c r="F26" i="2"/>
  <c r="F37" i="2"/>
  <c r="F34" i="2"/>
  <c r="F33" i="2"/>
  <c r="F32" i="2"/>
  <c r="F31" i="2"/>
  <c r="F30" i="2"/>
  <c r="F36" i="2"/>
  <c r="F35" i="2"/>
  <c r="L9" i="2"/>
  <c r="K9" i="2"/>
  <c r="F9" i="2"/>
  <c r="L8" i="2"/>
  <c r="K8" i="2"/>
  <c r="F8" i="2"/>
  <c r="L54" i="2"/>
  <c r="L53" i="2"/>
  <c r="L52" i="2"/>
  <c r="K54" i="2"/>
  <c r="K53" i="2"/>
  <c r="K52" i="2"/>
  <c r="K243" i="2"/>
  <c r="F54" i="2"/>
  <c r="F53" i="2"/>
  <c r="F52" i="2"/>
  <c r="L257" i="2"/>
  <c r="K257" i="2"/>
  <c r="F257" i="2"/>
  <c r="F250" i="2"/>
  <c r="F253" i="2"/>
  <c r="F254" i="2"/>
  <c r="F251" i="2"/>
  <c r="F252" i="2"/>
  <c r="F248" i="2"/>
  <c r="F249" i="2"/>
  <c r="L253" i="2"/>
  <c r="K253" i="2"/>
  <c r="K250" i="2"/>
  <c r="L250" i="2"/>
  <c r="K254" i="2"/>
  <c r="L254" i="2"/>
  <c r="K251" i="2"/>
  <c r="L251" i="2"/>
  <c r="K252" i="2"/>
  <c r="L252" i="2"/>
  <c r="K248" i="2"/>
  <c r="L248" i="2"/>
  <c r="K249" i="2"/>
  <c r="L249" i="2"/>
  <c r="K150" i="2"/>
  <c r="D255" i="2"/>
  <c r="F255" i="2" s="1"/>
  <c r="D256" i="2" l="1"/>
  <c r="K256" i="2" s="1"/>
  <c r="L255" i="2"/>
  <c r="K255" i="2"/>
  <c r="L150" i="2"/>
  <c r="L149" i="2"/>
  <c r="L6" i="2"/>
  <c r="K149" i="2"/>
  <c r="F150" i="2"/>
  <c r="F149" i="2"/>
  <c r="F65" i="2"/>
  <c r="F247" i="2"/>
  <c r="F246" i="2"/>
  <c r="F245" i="2"/>
  <c r="K6" i="2"/>
  <c r="K7" i="2"/>
  <c r="L7" i="2"/>
  <c r="F6" i="2"/>
  <c r="F7" i="2"/>
  <c r="L243" i="2"/>
  <c r="K47" i="2"/>
  <c r="F243" i="2"/>
  <c r="F160" i="2"/>
  <c r="F239" i="2"/>
  <c r="F242" i="2"/>
  <c r="F233" i="2"/>
  <c r="F236" i="2"/>
  <c r="F238" i="2"/>
  <c r="F241" i="2"/>
  <c r="F232" i="2"/>
  <c r="F235" i="2"/>
  <c r="F237" i="2"/>
  <c r="F240" i="2"/>
  <c r="F231" i="2"/>
  <c r="F227" i="2"/>
  <c r="F234" i="2"/>
  <c r="F230" i="2"/>
  <c r="F221" i="2"/>
  <c r="F224" i="2"/>
  <c r="F226" i="2"/>
  <c r="F220" i="2"/>
  <c r="F229" i="2"/>
  <c r="F223" i="2"/>
  <c r="F225" i="2"/>
  <c r="F228" i="2"/>
  <c r="F219" i="2"/>
  <c r="F222" i="2"/>
  <c r="F218" i="2"/>
  <c r="F215" i="2"/>
  <c r="F209" i="2"/>
  <c r="F212" i="2"/>
  <c r="F214" i="2"/>
  <c r="F217" i="2"/>
  <c r="F208" i="2"/>
  <c r="F211" i="2"/>
  <c r="F213" i="2"/>
  <c r="F216" i="2"/>
  <c r="F207" i="2"/>
  <c r="F210" i="2"/>
  <c r="L47" i="2"/>
  <c r="K158" i="2"/>
  <c r="F47" i="2"/>
  <c r="F59" i="2"/>
  <c r="F60" i="2"/>
  <c r="F61" i="2"/>
  <c r="F62" i="2"/>
  <c r="F63" i="2"/>
  <c r="F64" i="2"/>
  <c r="F58" i="2"/>
  <c r="F153" i="2"/>
  <c r="K161" i="2"/>
  <c r="L156" i="2"/>
  <c r="L157" i="2"/>
  <c r="L158" i="2"/>
  <c r="L159" i="2"/>
  <c r="L160" i="2"/>
  <c r="L161" i="2"/>
  <c r="K156" i="2"/>
  <c r="K157" i="2"/>
  <c r="K159" i="2"/>
  <c r="K160" i="2"/>
  <c r="F157" i="2"/>
  <c r="F158" i="2"/>
  <c r="F159" i="2"/>
  <c r="F161" i="2"/>
  <c r="F156" i="2"/>
  <c r="F155" i="2"/>
  <c r="L182" i="2"/>
  <c r="L184" i="2"/>
  <c r="L185" i="2"/>
  <c r="L187" i="2"/>
  <c r="L188" i="2"/>
  <c r="L189" i="2"/>
  <c r="L191" i="2"/>
  <c r="L192" i="2"/>
  <c r="L194" i="2"/>
  <c r="L195" i="2"/>
  <c r="L197" i="2"/>
  <c r="L198" i="2"/>
  <c r="L200" i="2"/>
  <c r="L201" i="2"/>
  <c r="L202" i="2"/>
  <c r="L204" i="2"/>
  <c r="L205" i="2"/>
  <c r="L168" i="2"/>
  <c r="L169" i="2"/>
  <c r="L171" i="2"/>
  <c r="L172" i="2"/>
  <c r="L174" i="2"/>
  <c r="L175" i="2"/>
  <c r="L176" i="2"/>
  <c r="L178" i="2"/>
  <c r="L179" i="2"/>
  <c r="L181" i="2"/>
  <c r="L43" i="2"/>
  <c r="K182" i="2"/>
  <c r="K184" i="2"/>
  <c r="K185" i="2"/>
  <c r="K187" i="2"/>
  <c r="K188" i="2"/>
  <c r="K189" i="2"/>
  <c r="K191" i="2"/>
  <c r="K192" i="2"/>
  <c r="K194" i="2"/>
  <c r="K195" i="2"/>
  <c r="K197" i="2"/>
  <c r="K198" i="2"/>
  <c r="K200" i="2"/>
  <c r="K201" i="2"/>
  <c r="K202" i="2"/>
  <c r="K204" i="2"/>
  <c r="K205" i="2"/>
  <c r="K168" i="2"/>
  <c r="K169" i="2"/>
  <c r="K171" i="2"/>
  <c r="K172" i="2"/>
  <c r="K174" i="2"/>
  <c r="K175" i="2"/>
  <c r="K176" i="2"/>
  <c r="K178" i="2"/>
  <c r="K179" i="2"/>
  <c r="K181" i="2"/>
  <c r="K45" i="2"/>
  <c r="D193" i="2"/>
  <c r="D206" i="2" s="1"/>
  <c r="D190" i="2"/>
  <c r="D186" i="2"/>
  <c r="D183" i="2"/>
  <c r="K43" i="2"/>
  <c r="K39" i="2"/>
  <c r="K164" i="2"/>
  <c r="F154" i="2"/>
  <c r="K163" i="2"/>
  <c r="F40" i="2"/>
  <c r="K38" i="2"/>
  <c r="K49" i="2"/>
  <c r="K151" i="2"/>
  <c r="F46" i="2"/>
  <c r="K46" i="2"/>
  <c r="K50" i="2"/>
  <c r="F152" i="2"/>
  <c r="F151" i="2"/>
  <c r="K153" i="2"/>
  <c r="L153" i="2"/>
  <c r="K152" i="2"/>
  <c r="L152" i="2"/>
  <c r="L151" i="2"/>
  <c r="L164" i="2"/>
  <c r="L162" i="2"/>
  <c r="L163" i="2"/>
  <c r="L165" i="2"/>
  <c r="K162" i="2"/>
  <c r="K165" i="2"/>
  <c r="F164" i="2"/>
  <c r="F162" i="2"/>
  <c r="F163" i="2"/>
  <c r="F165" i="2"/>
  <c r="L50" i="2"/>
  <c r="L49" i="2"/>
  <c r="L48" i="2"/>
  <c r="K48" i="2"/>
  <c r="F48" i="2"/>
  <c r="F51" i="2"/>
  <c r="F49" i="2"/>
  <c r="F50" i="2"/>
  <c r="L51" i="2"/>
  <c r="K51" i="2"/>
  <c r="L39" i="2"/>
  <c r="L40" i="2"/>
  <c r="L41" i="2"/>
  <c r="L44" i="2"/>
  <c r="L45" i="2"/>
  <c r="L42" i="2"/>
  <c r="L46" i="2"/>
  <c r="L38" i="2"/>
  <c r="K40" i="2"/>
  <c r="K41" i="2"/>
  <c r="K44" i="2"/>
  <c r="K42" i="2"/>
  <c r="F4" i="2"/>
  <c r="F2" i="2"/>
  <c r="F5" i="2"/>
  <c r="F38" i="2"/>
  <c r="F39" i="2"/>
  <c r="F41" i="2"/>
  <c r="F43" i="2"/>
  <c r="F44" i="2"/>
  <c r="F45" i="2"/>
  <c r="F42" i="2"/>
  <c r="L256" i="2" l="1"/>
  <c r="F256" i="2"/>
  <c r="D180" i="2"/>
  <c r="L180" i="2" s="1"/>
  <c r="D196" i="2"/>
  <c r="D170" i="2" s="1"/>
  <c r="D199" i="2"/>
  <c r="D173" i="2" s="1"/>
  <c r="D203" i="2"/>
  <c r="D177" i="2" s="1"/>
  <c r="L183" i="2"/>
  <c r="K183" i="2"/>
  <c r="L186" i="2"/>
  <c r="K186" i="2"/>
  <c r="L190" i="2"/>
  <c r="K190" i="2"/>
  <c r="L193" i="2"/>
  <c r="K193" i="2"/>
  <c r="L206" i="2"/>
  <c r="K206" i="2"/>
  <c r="K180" i="2" l="1"/>
  <c r="L196" i="2"/>
  <c r="K203" i="2"/>
  <c r="K196" i="2"/>
  <c r="K170" i="2"/>
  <c r="L170" i="2"/>
  <c r="L203" i="2"/>
  <c r="K199" i="2"/>
  <c r="L199" i="2"/>
  <c r="L173" i="2"/>
  <c r="K173" i="2"/>
  <c r="L177" i="2"/>
  <c r="K177" i="2"/>
</calcChain>
</file>

<file path=xl/sharedStrings.xml><?xml version="1.0" encoding="utf-8"?>
<sst xmlns="http://schemas.openxmlformats.org/spreadsheetml/2006/main" count="4310" uniqueCount="667">
  <si>
    <t>This workbook and associated data are supplementary material to a technical report and should be cited as:</t>
  </si>
  <si>
    <t>Stevens, A., Klementisová, K., Donovan, C. &amp; Simmons, S.E. RES/AquaMaps - Arctic Density Surfaces Technical Report - Appendix 2. Report number SMRUC-HDR-2023-008 provided to the funders (HDR) June 2023 (unpublished).</t>
  </si>
  <si>
    <t>Reference</t>
  </si>
  <si>
    <t>Data platform</t>
  </si>
  <si>
    <t>Data originator</t>
  </si>
  <si>
    <t>Dataset title</t>
  </si>
  <si>
    <t>Data start year</t>
  </si>
  <si>
    <t>Data end year</t>
  </si>
  <si>
    <t>Survey method</t>
  </si>
  <si>
    <t>Survey type</t>
  </si>
  <si>
    <t>Survey rank</t>
  </si>
  <si>
    <t>Effort?</t>
  </si>
  <si>
    <t>Effort rank</t>
  </si>
  <si>
    <t>Abundance/Density</t>
  </si>
  <si>
    <t>Abundance/Density rank</t>
  </si>
  <si>
    <t>SE rank</t>
  </si>
  <si>
    <t>Area?</t>
  </si>
  <si>
    <t>Area rank</t>
  </si>
  <si>
    <t>Overall data quality</t>
  </si>
  <si>
    <t>Comment on data quality</t>
  </si>
  <si>
    <t>Bearded seal (P1)</t>
  </si>
  <si>
    <t>Harp seal (P1)</t>
  </si>
  <si>
    <t>Hooded seal (P1)</t>
  </si>
  <si>
    <t>Ringed seal (P1)</t>
  </si>
  <si>
    <t>Spotted seal (P2)</t>
  </si>
  <si>
    <t>Ribbon seal (P2)</t>
  </si>
  <si>
    <t>Beluga whale (P2)</t>
  </si>
  <si>
    <t>Gray whale (P2)</t>
  </si>
  <si>
    <t>NPRW (P2)</t>
  </si>
  <si>
    <t>N elephant seal (P2)</t>
  </si>
  <si>
    <t>Steller sea lion (P2)</t>
  </si>
  <si>
    <t>Walrus (P2)</t>
  </si>
  <si>
    <t>NARW (P2)</t>
  </si>
  <si>
    <t>Bowhead whale (P2)</t>
  </si>
  <si>
    <t>Narwhal (P2)</t>
  </si>
  <si>
    <t>Palka (2006)</t>
  </si>
  <si>
    <t>NFSC</t>
  </si>
  <si>
    <t>NOAA, Geomarine Inc</t>
  </si>
  <si>
    <t>Summer Abundance Estimatesof Cetaceans in US North AtlanticNavy Operating Areas</t>
  </si>
  <si>
    <t>Other</t>
  </si>
  <si>
    <t>Aerial and vessel line transect</t>
  </si>
  <si>
    <t>Y</t>
  </si>
  <si>
    <t>Ranked 2 as data is older than ideal time frame but was not published until 2006</t>
  </si>
  <si>
    <t>X</t>
  </si>
  <si>
    <t>Doniol-Valcroze et al. (2019a)</t>
  </si>
  <si>
    <t>NAMMCO</t>
  </si>
  <si>
    <t>DFO</t>
  </si>
  <si>
    <t>NARWHAL ABUNDANCE IN THE EASTERN CANADIAN HIGH ARCTIC IN 2013</t>
  </si>
  <si>
    <t>Aerial</t>
  </si>
  <si>
    <t>Line transect</t>
  </si>
  <si>
    <t>Asselin et al. (2012)</t>
  </si>
  <si>
    <t>CSAS (Canadian Science Advisory Secretariat)</t>
  </si>
  <si>
    <t>Results of narwhal (Monodon monoceros) aerial surveys in northern Hudson Bay, August 2011</t>
  </si>
  <si>
    <t>Asselin and Richard (2011)</t>
  </si>
  <si>
    <t>Results of narwhal (Monodon monoceros) aerial surveys in Admiralty Inlet, August 2010</t>
  </si>
  <si>
    <t>Heide-Jørgensen et al. (2010b)</t>
  </si>
  <si>
    <t>Journal of Mammology</t>
  </si>
  <si>
    <t>Greenland Institute of Natural Resources</t>
  </si>
  <si>
    <t>Abundance of narwhals (Monodon monoceros) on the hunting grounds in Greenland</t>
  </si>
  <si>
    <t>Doniol-Valcroze et al. (2019b)</t>
  </si>
  <si>
    <t>DISTRIBUTION AND ABUNDANCE OF THE EASTERN CANADA–WEST GREENLAND BOWHEAD WHALE POPULATION BASED ON THE 2013 HIGH ARCTIC CETACEAN SURVEY</t>
  </si>
  <si>
    <t>Rekdal et al. (2015)</t>
  </si>
  <si>
    <t>Marine mammal Science</t>
  </si>
  <si>
    <t>University of Oslo</t>
  </si>
  <si>
    <r>
      <rPr>
        <sz val="11"/>
        <color rgb="FF000000"/>
        <rFont val="Calibri"/>
      </rPr>
      <t>Trends in bowhead whales in West Greenland: Aerial surveys </t>
    </r>
    <r>
      <rPr>
        <sz val="11"/>
        <color rgb="FF000000"/>
        <rFont val="Open Sans"/>
      </rPr>
      <t>vs. genetic capture-recapture analyses</t>
    </r>
  </si>
  <si>
    <t>Also mark recapture estimates but these will be ignored as no area so no density can be calculated</t>
  </si>
  <si>
    <t>Heide-Jørgensen et al. (2016)</t>
  </si>
  <si>
    <t>Polar Biology</t>
  </si>
  <si>
    <t>Large numbers of marine mammals winter in the North Water polynya</t>
  </si>
  <si>
    <t>Heide-Jørgensen et al. (2014)</t>
  </si>
  <si>
    <t>Abundance of walruses in Eastern Baffin Bay and Davis Strait</t>
  </si>
  <si>
    <t>Conn et al. (2014)</t>
  </si>
  <si>
    <t>Methods in Ecology and Evolution</t>
  </si>
  <si>
    <t>NMML, NOAA-NMFS, Alaska Fisheries Science Center</t>
  </si>
  <si>
    <t>Estimating multispecies abundance using automated detection systems: ice-associated seals in the BeringSea</t>
  </si>
  <si>
    <t>Modelling framework using survey data</t>
  </si>
  <si>
    <t>Boveng et al. (2017)</t>
  </si>
  <si>
    <t>NOAA</t>
  </si>
  <si>
    <t>NMML</t>
  </si>
  <si>
    <t>Abundance Estimates of Ice-Associated Seals: Bering Sea Populations that Inhabit the Chukchi Sea During the Open-Water Period</t>
  </si>
  <si>
    <t>Chambellant et al. (2012)</t>
  </si>
  <si>
    <t>University of Maitoba</t>
  </si>
  <si>
    <t>Temporal variation in distribution and density of ice-obligated seals in western Hudson Bay, Canada</t>
  </si>
  <si>
    <t>Study area requires additional processing to use data</t>
  </si>
  <si>
    <t>Bengtson et al. (2005)</t>
  </si>
  <si>
    <t>National Marine Mammal Laboratory, Alaska Fisheries Science Center, NOAA Fisheries NOA</t>
  </si>
  <si>
    <t>Ringed and bearded seal densities in the eastern Chukchi Sea, 1999–2000</t>
  </si>
  <si>
    <t>Ranked 2 as older data but published in 2005</t>
  </si>
  <si>
    <t>Young et al. (2015)</t>
  </si>
  <si>
    <t>Arctic Institute of North America</t>
  </si>
  <si>
    <t>Variation in Ringed Seal Density and Abundance in Western Hudson Bay Estimated from Aerial Surveys, 199</t>
  </si>
  <si>
    <t>N</t>
  </si>
  <si>
    <t>Some data used is older (1995-2000)</t>
  </si>
  <si>
    <t>Aerts et al. (2012)</t>
  </si>
  <si>
    <t>Continental Shelf Research</t>
  </si>
  <si>
    <t>LAMA Ecological</t>
  </si>
  <si>
    <t>Marine mammal distribution and abundance in an offshore sub-region of the northeastern Chukchi Sea during the open-water season</t>
  </si>
  <si>
    <t>Vessel</t>
  </si>
  <si>
    <t>Bearded seal data could not be used an no uncertainty values were provided</t>
  </si>
  <si>
    <t>Vacquié-Garcia et al. (2017)</t>
  </si>
  <si>
    <t>ENDANGERED SPECIES RESEARCH</t>
  </si>
  <si>
    <t>Norwegian Polar Institute</t>
  </si>
  <si>
    <t>Late summer distribution and abundance of ice-associated whales in the Norwegian High Arctic</t>
  </si>
  <si>
    <t>No sightings during vessel surverys so data used from aerial only</t>
  </si>
  <si>
    <t>Ver Hoef et al. (2014)</t>
  </si>
  <si>
    <t>Statistical methodology</t>
  </si>
  <si>
    <t>NMML, AFSC, NOAA</t>
  </si>
  <si>
    <t>A spatial hierarchical model for abundance of three ice-associated seal species in the eastern Bering Sea</t>
  </si>
  <si>
    <t>Additional calculations required so ranked 2</t>
  </si>
  <si>
    <t>Lowry et al. (2017)</t>
  </si>
  <si>
    <t>The Arctic Institute of North America</t>
  </si>
  <si>
    <t>University of Alaska Fairbanks</t>
  </si>
  <si>
    <t>Aerial Survey Estimates of Abundance of the Eastern Chukchi Sea Stockof Beluga Whales (Delphinapterus leucas) in 2012</t>
  </si>
  <si>
    <t>Givens et al. (2020)</t>
  </si>
  <si>
    <t>Arctic</t>
  </si>
  <si>
    <t>MML, AFSC, NMFS</t>
  </si>
  <si>
    <t>Abundance of the Eastern Chukchi Sea Stock of Beluga Whales, 2012 –17</t>
  </si>
  <si>
    <t>Abundance estimated from number of belugas seen 0-10m below surface and corrected for diving whales</t>
  </si>
  <si>
    <t>Ferguson et al. (2021)</t>
  </si>
  <si>
    <t>NOAA Tech memorandum</t>
  </si>
  <si>
    <t>MML</t>
  </si>
  <si>
    <t>Geographically Stratified Abundance Estimate for BeringChukchi-Beaufort Seas Bowhead Whales (Balaena mysticetus) from an August 2019 Aerial LineTransect Survey in the Beaufort</t>
  </si>
  <si>
    <t>Berchok et al. (2015)</t>
  </si>
  <si>
    <t>BOEM report</t>
  </si>
  <si>
    <t>Chukchi Offshore Monitoring in Drilling Area (COMIDA): Factors Affecting the Distribution and Relative Abundance </t>
  </si>
  <si>
    <t>Density estimate per km/2 is available but abundance values not provided</t>
  </si>
  <si>
    <t>Shelden et al. (2017)</t>
  </si>
  <si>
    <t>Marine Fisheries Review</t>
  </si>
  <si>
    <t>Late Summer Distribution of Cetaceans near Barrow, Alaska: Results from Aerial Surveys Conducted During the Bowhead Whale Feeding Ecology Study, 2007–11</t>
  </si>
  <si>
    <t>Ireland et al. (2009)</t>
  </si>
  <si>
    <t>Research gate</t>
  </si>
  <si>
    <t>LGL limited</t>
  </si>
  <si>
    <t>Updated Distribution and Relative Abundance of Cetaceans in the Eastern Chukchi Sea in 2006-8</t>
  </si>
  <si>
    <t>No abundance but density per 1000km2,
No uncertainty values presented for vessel data so only aerial survey data used</t>
  </si>
  <si>
    <t>Heide-Jørgensen et al. (2007)</t>
  </si>
  <si>
    <t>Biology letters</t>
  </si>
  <si>
    <t>Greenland Institue of Natural resources</t>
  </si>
  <si>
    <t>Increasing abundance ofbowhead whales in WestGreenland</t>
  </si>
  <si>
    <t>Boertmann et al. (2009)</t>
  </si>
  <si>
    <t>Report</t>
  </si>
  <si>
    <t>NERI</t>
  </si>
  <si>
    <t>SEABIRDS AND MARINE MAMMALS IN NORTHEAST GREENLAND Aerial surveys in spring and summer 2008</t>
  </si>
  <si>
    <t>Harwood et al. (2009)</t>
  </si>
  <si>
    <t>Canadian Science Advisory Secretariat</t>
  </si>
  <si>
    <t>Distribution of bowhead whales in the SE Beaufort Sea during late summer, 2007-2009</t>
  </si>
  <si>
    <t>Density estimate per km/2 is available so required converting but abundance values not provided</t>
  </si>
  <si>
    <t>Dueck and Richard (2008)</t>
  </si>
  <si>
    <t>Fisheries and Oceans Canada</t>
  </si>
  <si>
    <t>A review and re-analysis of Cosens et al. (3006) aerial survey assessment of bowhead whale abundance for the eastern Canadian Arctic</t>
  </si>
  <si>
    <t>Multiple abundance values included - used values corrected for availability bias from double platform analysis
East Baffin Fjords area not presented so these data and total for block 3 could not be used.</t>
  </si>
  <si>
    <t>Hansen et al. (2012)</t>
  </si>
  <si>
    <t>Journal of Cetacean Research and Managmement</t>
  </si>
  <si>
    <t>Recent abundance of bowhead whales in Isabella Bay, Canada</t>
  </si>
  <si>
    <t>Matthews et al. (2017)</t>
  </si>
  <si>
    <t>Estimated abundance of the Western Hudson Bay beluga stock from the 2015 visual and photographic aerial survey</t>
  </si>
  <si>
    <t>Gosselin et al. (2017)</t>
  </si>
  <si>
    <t>Abundance index of St. Lawrence Estuary beluga, Delphinapterus leucas, from aerial visual surveys flown in August 2014 and an update on reported deaths</t>
  </si>
  <si>
    <t>Not all available densities were suitable to use</t>
  </si>
  <si>
    <t>Marcoux et al. (2016)</t>
  </si>
  <si>
    <t>Estimate of Cumberland Sound beluga (Delphinapterus leucas) population size
from the 2014 visual and photographic aerial survey</t>
  </si>
  <si>
    <t>Gosselin et al. (2014)</t>
  </si>
  <si>
    <t>Summer abundance indices of St. Lawrence Estuary beluga (Delphinapterus leucas) from a photographic survey in 2009 and 28 line transect surveys from 2001 to 2009</t>
  </si>
  <si>
    <t>Gosselin et al. (2013)</t>
  </si>
  <si>
    <t>Abundance estimate of beluga in eastern Hudson Bay and Jame Bay, summer 2011</t>
  </si>
  <si>
    <t>Marcoux et al. (2019)</t>
  </si>
  <si>
    <t>Estimate of the abundance of the Eclipse Sound narwhal (Monodon Monoceros) summer stock from the 2016 photographic aerial survey</t>
  </si>
  <si>
    <t>Watt and Hornby (2020)</t>
  </si>
  <si>
    <t>Narwhal (Monodon monoceros) abundance estimate from the 2018 aerial survey of the Northern Hudson Bay population</t>
  </si>
  <si>
    <t>Watt et al. (2021)</t>
  </si>
  <si>
    <t>Abundance and total allowable landed catch estimates from the 2017 aerial survey of the Cumberland Sound beluga (Delphinapterus leucas) population</t>
  </si>
  <si>
    <t>Only using the aerial survey information. Photographic survey had incomplete area information</t>
  </si>
  <si>
    <t>Hattori et al. (2021)</t>
  </si>
  <si>
    <t>Mammal Study</t>
  </si>
  <si>
    <t>Fisheries Resources Institute, Japan Fisheries Research and Education Agency,</t>
  </si>
  <si>
    <t>Abundance Estimates of Steller Sea Lions (Eumetopias jubatus) Off the Western Coast of Hokkaido, Japan</t>
  </si>
  <si>
    <t>Whitlock et al. (2020)</t>
  </si>
  <si>
    <t>Ecological Modelling</t>
  </si>
  <si>
    <t>Oregon Cooperative Fish and Wildlife Research Unit</t>
  </si>
  <si>
    <t>Modelling pinniped abundance and distribution by combining counts at terrestrial sites and in-water sightings</t>
  </si>
  <si>
    <t>aerial and vessel in all years except 2006 which was vessel only</t>
  </si>
  <si>
    <t>Speckman et al. (2011)</t>
  </si>
  <si>
    <t>Marine Mammal Science</t>
  </si>
  <si>
    <t>FWS</t>
  </si>
  <si>
    <t>Results and evaluation of a survey to estimate Pacificwalrus population size, 2006</t>
  </si>
  <si>
    <t>Udevitz et al. (2008)</t>
  </si>
  <si>
    <t>USGS Alaska Science Center</t>
  </si>
  <si>
    <t>Estimation of walrus populations on sea ice with infraredimagery and aerial photography</t>
  </si>
  <si>
    <t>Boertmann et al. (2015)</t>
  </si>
  <si>
    <t>Department of Bioscience, Arctic Research Centre, Aarhus University, GINR</t>
  </si>
  <si>
    <t>A hidden getaway for bowhead whales in the Greenland Sea</t>
  </si>
  <si>
    <t>Only data from 19th August only used for abundance estimate.</t>
  </si>
  <si>
    <t>Born et al. (2009)</t>
  </si>
  <si>
    <t>GINR</t>
  </si>
  <si>
    <t>ABUNDANCE OF ATLANTIC WALRUS (ODOBENUS ROSMARUS ROSMARUS) IN EAST GREENLAND</t>
  </si>
  <si>
    <t xml:space="preserve">Only data from 19th August only used for abundance estimate. </t>
  </si>
  <si>
    <t>Marques et al. (2011)</t>
  </si>
  <si>
    <t>Endangered Species Research</t>
  </si>
  <si>
    <t>CREEM</t>
  </si>
  <si>
    <t>Estimating North Pacific right whale Eubalaena japonica density using passive acoustic cue counting</t>
  </si>
  <si>
    <t>Acoustic</t>
  </si>
  <si>
    <t>Cue rate</t>
  </si>
  <si>
    <t>Hakamada and Matsuoka (2016)</t>
  </si>
  <si>
    <t>IWC</t>
  </si>
  <si>
    <t>The Institute of Cetacean Research, Tokyo</t>
  </si>
  <si>
    <t>The number of blue, fin, humpback, and North Pacific right whales in the western North Pacific in the JARPNII Offshore survey area</t>
  </si>
  <si>
    <t>Heide-Jørgensen et al. (2013)</t>
  </si>
  <si>
    <t>AMBIO Journal</t>
  </si>
  <si>
    <t>The Significance of the North Water Polynya to Arctic Top Predators</t>
  </si>
  <si>
    <t>Richard et al. (2010)</t>
  </si>
  <si>
    <t>Baffin Bay Narwhal Population Distribution and Numbers: Aerial Surveys in the Canadian High Arctic, 2002-04</t>
  </si>
  <si>
    <t>Ranked 2 as older dataset but published in 2010</t>
  </si>
  <si>
    <t>Heide-Jørgensen et al. (2010a)</t>
  </si>
  <si>
    <t>Polar Research journal</t>
  </si>
  <si>
    <t>The effect of sea-ice loss on beluga whales (Delphinapterus leucas) in West Greenland</t>
  </si>
  <si>
    <t>Only used total abundance</t>
  </si>
  <si>
    <t>Species</t>
  </si>
  <si>
    <t>Area/segment</t>
  </si>
  <si>
    <t>Area (km2)</t>
  </si>
  <si>
    <t>Abundance estimate (number of animals)</t>
  </si>
  <si>
    <t>Density estimate (per km2)</t>
  </si>
  <si>
    <t>Uncertainty</t>
  </si>
  <si>
    <t>Uncertainty measure</t>
  </si>
  <si>
    <t>95% CI uncertainty low (abundance)</t>
  </si>
  <si>
    <t>95% CI uncertainty high (abundance)</t>
  </si>
  <si>
    <t>95% CI uncertainty low (per km2)</t>
  </si>
  <si>
    <t>95% CI uncertainty high (per km2)</t>
  </si>
  <si>
    <t>Survey start date</t>
  </si>
  <si>
    <t>Survey end date</t>
  </si>
  <si>
    <t>Dates/Months</t>
  </si>
  <si>
    <t>Ranking of survey quality?</t>
  </si>
  <si>
    <t>North Atlantic right whale</t>
  </si>
  <si>
    <t xml:space="preserve">Gulf of Maine Central  </t>
  </si>
  <si>
    <t>CV for abundance</t>
  </si>
  <si>
    <t xml:space="preserve"> - </t>
  </si>
  <si>
    <t>12 Jun - 12 Jul</t>
  </si>
  <si>
    <t>Gulf of Maine North</t>
  </si>
  <si>
    <t>28 Jul - 21 Aug</t>
  </si>
  <si>
    <t>Gulf of Maine South 2002</t>
  </si>
  <si>
    <t>19 Jul - 16 Aug</t>
  </si>
  <si>
    <t>Gulf of Maine South 2004</t>
  </si>
  <si>
    <t>Narwhal</t>
  </si>
  <si>
    <t>Admiralty Inlet</t>
  </si>
  <si>
    <t>Aug</t>
  </si>
  <si>
    <t>Eclipse Sound</t>
  </si>
  <si>
    <t>Total - Northern Hudson Bay</t>
  </si>
  <si>
    <t>14-17 Aug 2011</t>
  </si>
  <si>
    <t>Total - Admiralty Inlet</t>
  </si>
  <si>
    <t>7-11 Aug 2010</t>
  </si>
  <si>
    <t>East Greenland All</t>
  </si>
  <si>
    <t>-</t>
  </si>
  <si>
    <t>8-19 Aug</t>
  </si>
  <si>
    <t>East Greenland Blossville Coast</t>
  </si>
  <si>
    <t>East Greenland Fønfjord</t>
  </si>
  <si>
    <t>East Greenland Hall Bredning</t>
  </si>
  <si>
    <t>East Greenland Kangerlussuaq</t>
  </si>
  <si>
    <t>East Greenland Kangertigtivatsiaq</t>
  </si>
  <si>
    <t>East Greenland Nordvestfjord</t>
  </si>
  <si>
    <t>East Greenland Sermilik Fjord</t>
  </si>
  <si>
    <t>East Greenland Tasiilaq Fjord</t>
  </si>
  <si>
    <t>Inglefield Bredning Academy Bay</t>
  </si>
  <si>
    <t>15-21 Aug</t>
  </si>
  <si>
    <t>Inglefield Bredning All</t>
  </si>
  <si>
    <t>Inglefield Bredning Bowdoin Fjord</t>
  </si>
  <si>
    <t>Inglefield Bredning East</t>
  </si>
  <si>
    <t>Inglefield Bredning West</t>
  </si>
  <si>
    <t>Mellvile Bay &amp; Inglefield Bredning All</t>
  </si>
  <si>
    <t>Mellvile Bay All</t>
  </si>
  <si>
    <t>11-23 Aug</t>
  </si>
  <si>
    <t>Mellvile Bay Central</t>
  </si>
  <si>
    <t>Mellvile Bay Northeast</t>
  </si>
  <si>
    <t>Mellvile Bay Northwest</t>
  </si>
  <si>
    <t>Mellvile Bay South</t>
  </si>
  <si>
    <t>West Greenland 10</t>
  </si>
  <si>
    <t>7 Mar - 24 April</t>
  </si>
  <si>
    <t>West Greenland 13</t>
  </si>
  <si>
    <t>West Greenland 14</t>
  </si>
  <si>
    <t>West Greenland 15</t>
  </si>
  <si>
    <t>West Greenland 16</t>
  </si>
  <si>
    <t>West Greenland 2</t>
  </si>
  <si>
    <t>West Greenland 3</t>
  </si>
  <si>
    <t>West Greenland Total</t>
  </si>
  <si>
    <t>Bowhead whale</t>
  </si>
  <si>
    <t>Cumberland Sound (high)</t>
  </si>
  <si>
    <t>Cumberland Sound (low)</t>
  </si>
  <si>
    <t>East Baffin Island</t>
  </si>
  <si>
    <t>East Baffin Fjords</t>
  </si>
  <si>
    <t>Gulf of Boothia</t>
  </si>
  <si>
    <t>Prince Regent Inlet</t>
  </si>
  <si>
    <t>Total - Eastern Canada to West Greenland</t>
  </si>
  <si>
    <t>Disko Bay selected strata</t>
  </si>
  <si>
    <t>March - April 2012</t>
  </si>
  <si>
    <t>Bearded seal</t>
  </si>
  <si>
    <t>Total - North Water polynya</t>
  </si>
  <si>
    <t>10 Apr - 14 Apr</t>
  </si>
  <si>
    <t>Beluga whale</t>
  </si>
  <si>
    <t>Walrus</t>
  </si>
  <si>
    <t>Disko Bay 2006</t>
  </si>
  <si>
    <t>21 Mar - 19 April 2006</t>
  </si>
  <si>
    <t>Disko Bay 2008</t>
  </si>
  <si>
    <t>3 - 12 April 2008</t>
  </si>
  <si>
    <t>Disko Bay 2012</t>
  </si>
  <si>
    <t>24 Mar - 14 April 2012</t>
  </si>
  <si>
    <t>Eastern Bering Sea</t>
  </si>
  <si>
    <t>1 Apr - 20 May 2012</t>
  </si>
  <si>
    <t>Ribbon seal</t>
  </si>
  <si>
    <t>Spotted seal</t>
  </si>
  <si>
    <t>Eastern Bering Sea (US only) 2012</t>
  </si>
  <si>
    <t>SE for abundance</t>
  </si>
  <si>
    <t>6 Apr - 23 May 2012</t>
  </si>
  <si>
    <t>Eastern Bering Sea (US only) 2013</t>
  </si>
  <si>
    <t>4 Apr - 9 May 2013</t>
  </si>
  <si>
    <t>Ringed seal</t>
  </si>
  <si>
    <t>1995 Area 7-16</t>
  </si>
  <si>
    <t>1-3 June</t>
  </si>
  <si>
    <t>5-6 June</t>
  </si>
  <si>
    <t>1997 Area 7-16</t>
  </si>
  <si>
    <t>30 May - 1 June</t>
  </si>
  <si>
    <t>1999 Area 7-16</t>
  </si>
  <si>
    <t>30-31 May</t>
  </si>
  <si>
    <t>2000 Area 7-16</t>
  </si>
  <si>
    <t>1-2 June</t>
  </si>
  <si>
    <t>2007 Area 7-16</t>
  </si>
  <si>
    <t>26-29 May</t>
  </si>
  <si>
    <t>2008 Area 7-16</t>
  </si>
  <si>
    <t>28-31 May</t>
  </si>
  <si>
    <t>1 1999 - Eastern Chuckchi Sea</t>
  </si>
  <si>
    <t>SE for density</t>
  </si>
  <si>
    <t>23 May - 6 Jun 1999</t>
  </si>
  <si>
    <t>1 2000 - Eastern Chuckchi Sea</t>
  </si>
  <si>
    <t>21 - 31 May 2000</t>
  </si>
  <si>
    <t>10 1999 - Eastern Chuckchi Sea</t>
  </si>
  <si>
    <t>10 2000 - Eastern Chuckchi Sea</t>
  </si>
  <si>
    <t>11 1999 - Eastern Chuckchi Sea</t>
  </si>
  <si>
    <t>11 2000 - Eastern Chuckchi Sea</t>
  </si>
  <si>
    <t>12 1999 - Eastern Chuckchi Sea</t>
  </si>
  <si>
    <t>12 2000 - Eastern Chuckchi Sea</t>
  </si>
  <si>
    <t>2 1999 - Eastern Chuckchi Sea</t>
  </si>
  <si>
    <t>2 2000 - Eastern Chuckchi Sea</t>
  </si>
  <si>
    <t>3 1999 - Eastern Chuckchi Sea</t>
  </si>
  <si>
    <t>3 2000 - Eastern Chuckchi Sea</t>
  </si>
  <si>
    <t>4 1999 - Eastern Chuckchi Sea</t>
  </si>
  <si>
    <t>4 2000 - Eastern Chuckchi Sea</t>
  </si>
  <si>
    <t>5 1999 - Eastern Chuckchi Sea</t>
  </si>
  <si>
    <t>5 2000 - Eastern Chuckchi Sea</t>
  </si>
  <si>
    <t>6 1999 - Eastern Chuckchi Sea</t>
  </si>
  <si>
    <t>6 2000 - Eastern Chuckchi Sea</t>
  </si>
  <si>
    <t>7 1999 - Eastern Chuckchi Sea</t>
  </si>
  <si>
    <t>7 2000 - Eastern Chuckchi Sea</t>
  </si>
  <si>
    <t>8 1999 - Eastern Chuckchi Sea</t>
  </si>
  <si>
    <t>9 1999 - Eastern Chuckchi Sea</t>
  </si>
  <si>
    <t>Total 1999 - Eastern Chuckchi Sea</t>
  </si>
  <si>
    <t>Total 2000 (minus 8 &amp; 9) - Eastern Chuckchi Sea</t>
  </si>
  <si>
    <t>1995 Area 7-16 - Western Hudson Bay</t>
  </si>
  <si>
    <t>% CV density</t>
  </si>
  <si>
    <t>1997 Area 7-16 - Western Hudson Bay</t>
  </si>
  <si>
    <t>1999 Area 7-16 - Western Hudson Bay</t>
  </si>
  <si>
    <t>2000 Area 7-16 - Western Hudson Bay</t>
  </si>
  <si>
    <t>2007 Area 7-16 - Western Hudson Bay</t>
  </si>
  <si>
    <t>2008 Area 7-16 - Western Hudson Bay</t>
  </si>
  <si>
    <t>2009 Area 7-10 - Western Hudson Bay</t>
  </si>
  <si>
    <t>2-8 June</t>
  </si>
  <si>
    <t>2010 Area 7-16 - Western Hudson Bay</t>
  </si>
  <si>
    <t>5-9 June</t>
  </si>
  <si>
    <t>2013 Area 7-16 - Western Hudson Bay</t>
  </si>
  <si>
    <t>28 May - 5 June</t>
  </si>
  <si>
    <t>All areas 2008 Jul/Aug - NE Chukchi Sea</t>
  </si>
  <si>
    <t>NA</t>
  </si>
  <si>
    <t>Jul- Aug</t>
  </si>
  <si>
    <t>All areas 2008 Sep/Oct - NE Chukchi Sea</t>
  </si>
  <si>
    <t>Sep- Oct</t>
  </si>
  <si>
    <t>All areas 2009 Jul/Aug - NE Chukchi Sea</t>
  </si>
  <si>
    <t>All areas 2009 Sep/Oct - NE Chukchi Sea</t>
  </si>
  <si>
    <t>All areas 2010 Jul/Aug - NE Chukchi Sea</t>
  </si>
  <si>
    <t>All areas 2010 Sep/Oct - NE Chukchi Sea</t>
  </si>
  <si>
    <t>All areas 2011 Jul/Aug - NE Chukchi Sea</t>
  </si>
  <si>
    <t>All areas 2011 Sep/Oct - NE Chukchi Sea</t>
  </si>
  <si>
    <t>Burger 2008  - NE Chukchi Sea</t>
  </si>
  <si>
    <t>23 July - 12 Oct</t>
  </si>
  <si>
    <t>Burger 2009 - NE Chukchi Sea</t>
  </si>
  <si>
    <t>12 Aug - 17 Oct</t>
  </si>
  <si>
    <t>Burger 2010 - NE Chukchi Sea</t>
  </si>
  <si>
    <t>3 Aug - 8 Oct</t>
  </si>
  <si>
    <t>Burger 2011 - NE Chukchi Sea</t>
  </si>
  <si>
    <t>4 Aug - Oct 5</t>
  </si>
  <si>
    <t>Klondike 2008 - NE Chukchi Sea</t>
  </si>
  <si>
    <t>Klondike 2009 - NE Chukchi Sea</t>
  </si>
  <si>
    <t>Klondike 2010 - NE Chukchi Sea</t>
  </si>
  <si>
    <t>Klondike 2011 - NE Chukchi Sea</t>
  </si>
  <si>
    <t>Statoil 2010 - NE Chukchi Sea</t>
  </si>
  <si>
    <t>Statoil 2011 - NE Chukchi Sea</t>
  </si>
  <si>
    <t>Svalbard</t>
  </si>
  <si>
    <t>04-30 Aug</t>
  </si>
  <si>
    <t>Total - Eastern Bering Sea</t>
  </si>
  <si>
    <t>13 April-26 May</t>
  </si>
  <si>
    <t>Total (10m) - Eastern Chuckchi Sea</t>
  </si>
  <si>
    <t>Jul - Aug 2012</t>
  </si>
  <si>
    <t>Total (4m) - Eastern Chuckchi Sea</t>
  </si>
  <si>
    <t>Eastern Chuckchi 2012</t>
  </si>
  <si>
    <t>19 Jul - 20 Aug 2012</t>
  </si>
  <si>
    <t>Eastern Chuckchi 2013</t>
  </si>
  <si>
    <t>19 Jul - 20 Aug 2013</t>
  </si>
  <si>
    <t>Eastern Chuckchi 2014</t>
  </si>
  <si>
    <t>19 Jul - 20 Aug 2014</t>
  </si>
  <si>
    <t>Eastern Chuckchi 2015</t>
  </si>
  <si>
    <t>19 Jul - 20 Aug 2015</t>
  </si>
  <si>
    <t>Eastern Chuckchi 2016</t>
  </si>
  <si>
    <t>19 Jul - 20 Aug 2016</t>
  </si>
  <si>
    <t>Eastern Chuckchi 2017</t>
  </si>
  <si>
    <t>19 Jul - 20 Aug 2017</t>
  </si>
  <si>
    <t>Amundsen Gulf</t>
  </si>
  <si>
    <t>Eastern Beaufort Sea</t>
  </si>
  <si>
    <t>Total - Beaufort Sea and Amudsen Gulf</t>
  </si>
  <si>
    <t>Western Beaufort Sea</t>
  </si>
  <si>
    <t>Chuckchi Sea</t>
  </si>
  <si>
    <t>CV for density</t>
  </si>
  <si>
    <t>Aug 24-Sep 15 2010
Aug 19 - Sep 3 2011
Aug 15-31 2012</t>
  </si>
  <si>
    <t>Gray whale</t>
  </si>
  <si>
    <t>2007 Inner - Barrow</t>
  </si>
  <si>
    <t>22 Aug - 12 Sept 2007</t>
  </si>
  <si>
    <t>2007 Outer - Barrow</t>
  </si>
  <si>
    <t>2007 Total - Barrow</t>
  </si>
  <si>
    <t>2008 Inner - Barrow</t>
  </si>
  <si>
    <t>27 Aug - 17 Sep 2008</t>
  </si>
  <si>
    <t>2008 Outer - Barrow</t>
  </si>
  <si>
    <t>2008 Total - Barrow</t>
  </si>
  <si>
    <t>2009 Inner - Barrow</t>
  </si>
  <si>
    <t>30 Aug - 17 Sep 2009</t>
  </si>
  <si>
    <t>2010 Inner - Barrow</t>
  </si>
  <si>
    <t>1 Sep - 18 Sep 2010</t>
  </si>
  <si>
    <t>2010 Outer - Barrow</t>
  </si>
  <si>
    <t>2010 Total - Barrow</t>
  </si>
  <si>
    <t>2011 Inner - Barrow</t>
  </si>
  <si>
    <t>26 Aug - 16 Sep 2011</t>
  </si>
  <si>
    <t>2011 Outer - Barrow</t>
  </si>
  <si>
    <t>2011 Total - Barrow</t>
  </si>
  <si>
    <t>August 2006 ECS</t>
  </si>
  <si>
    <t>August</t>
  </si>
  <si>
    <t>August 2007 ECS</t>
  </si>
  <si>
    <t>August 2008 ECS</t>
  </si>
  <si>
    <t>July 2006 ECS</t>
  </si>
  <si>
    <t>July</t>
  </si>
  <si>
    <t>July 2007 ECS</t>
  </si>
  <si>
    <t>July 2008 ECS</t>
  </si>
  <si>
    <t>Oct-Nov 2006 ECS</t>
  </si>
  <si>
    <t>October - November</t>
  </si>
  <si>
    <t>Oct-Nov 2007 ECS</t>
  </si>
  <si>
    <t>October 2008 ECS</t>
  </si>
  <si>
    <t>October</t>
  </si>
  <si>
    <t>September 2006 ECS</t>
  </si>
  <si>
    <t>September</t>
  </si>
  <si>
    <t>September 2007 ECS</t>
  </si>
  <si>
    <t>September 2008 ECS</t>
  </si>
  <si>
    <t>Disko Bay</t>
  </si>
  <si>
    <t>April</t>
  </si>
  <si>
    <t>Greenland Northeast</t>
  </si>
  <si>
    <t>SE Beaufort Sea 2007</t>
  </si>
  <si>
    <t>22-23 Aug</t>
  </si>
  <si>
    <t>SE Beaufort Sea 2008</t>
  </si>
  <si>
    <t>2-20 Aug</t>
  </si>
  <si>
    <t>SE Beaufort Sea 2009</t>
  </si>
  <si>
    <t>15-20 Aug</t>
  </si>
  <si>
    <t>Admirality Inlet</t>
  </si>
  <si>
    <t>7-15 Aug</t>
  </si>
  <si>
    <t>East Baffin Island coast</t>
  </si>
  <si>
    <t>5-12 Aug</t>
  </si>
  <si>
    <t>Foxe Basin</t>
  </si>
  <si>
    <t>Fury and Hecla Strait</t>
  </si>
  <si>
    <t>Prince Regent Inlet and Gulf of Boothia</t>
  </si>
  <si>
    <t>Southern Gulf of Boothia</t>
  </si>
  <si>
    <t>Total for block 1</t>
  </si>
  <si>
    <t>Total for block 2</t>
  </si>
  <si>
    <t>Isabella Bay</t>
  </si>
  <si>
    <t>Churchill high density</t>
  </si>
  <si>
    <t>Nelson River</t>
  </si>
  <si>
    <t>West coast low density</t>
  </si>
  <si>
    <t>St lawrence estuary - Upstream and downstream total</t>
  </si>
  <si>
    <t>19 Aug - 10 Sep 2014</t>
  </si>
  <si>
    <t>Cumberland sound - average North stratum</t>
  </si>
  <si>
    <t>% CV for abundance</t>
  </si>
  <si>
    <t>Cumberland sound - North stratum 1</t>
  </si>
  <si>
    <t>Cumberland sound - North stratum 2</t>
  </si>
  <si>
    <t>Cumberland sound - West stratum</t>
  </si>
  <si>
    <t>St Lawrence Estuary</t>
  </si>
  <si>
    <t xml:space="preserve">Aug - Sep </t>
  </si>
  <si>
    <t>Eastern Hudson bay - high coverage</t>
  </si>
  <si>
    <t>July - Aug</t>
  </si>
  <si>
    <t>Eastern Hudson bay - low coverage</t>
  </si>
  <si>
    <t>James Bay</t>
  </si>
  <si>
    <t>Eclipse sound</t>
  </si>
  <si>
    <t xml:space="preserve">Aug  </t>
  </si>
  <si>
    <t>Koluktoo Bay</t>
  </si>
  <si>
    <t>Milne Inlet</t>
  </si>
  <si>
    <t>Tremblay Sound</t>
  </si>
  <si>
    <t>North Bays</t>
  </si>
  <si>
    <t>3-14 Aug</t>
  </si>
  <si>
    <t>Repulase Bay 16-23</t>
  </si>
  <si>
    <t>Repulse Bay 1-10</t>
  </si>
  <si>
    <t>Repulse Bay 11-15</t>
  </si>
  <si>
    <t>Roes Welcome Sound</t>
  </si>
  <si>
    <t>Wager Bay</t>
  </si>
  <si>
    <t>S1 Cumberland Sound (North Stratum +Kangilo Fiord +West Stratum total)</t>
  </si>
  <si>
    <t>July-Aug 2017</t>
  </si>
  <si>
    <t>S2 Cumberland Sound (North Stratum +Kangilo Fiord +West Stratum halved)</t>
  </si>
  <si>
    <t>Steller sea lion</t>
  </si>
  <si>
    <t>Hokkaido - 2005 S1</t>
  </si>
  <si>
    <t xml:space="preserve">Aerial  </t>
  </si>
  <si>
    <t>3 Mar - 24 Mar 2005</t>
  </si>
  <si>
    <t>Hokkaido - 2005 S2</t>
  </si>
  <si>
    <t>Hokkaido - 2006 S1</t>
  </si>
  <si>
    <t>1 Apr -  30 Apr 2006</t>
  </si>
  <si>
    <t>Hokkaido - 2006 S2</t>
  </si>
  <si>
    <t>Hokkaido - 2008 S1</t>
  </si>
  <si>
    <t>30 Apr - 8 May 2008</t>
  </si>
  <si>
    <t>Hokkaido - 2008 S2</t>
  </si>
  <si>
    <t>Hokkaido - 2009 S1</t>
  </si>
  <si>
    <t>28 Apr - 12 May 2009</t>
  </si>
  <si>
    <t>Hokkaido - 2009 S2</t>
  </si>
  <si>
    <t>Hokkaido - 2009 S3</t>
  </si>
  <si>
    <t>Hokkaido - 2009 total</t>
  </si>
  <si>
    <t>Hokkaido - 2010 S1</t>
  </si>
  <si>
    <t>17 Apr - 24 Apr 2010</t>
  </si>
  <si>
    <t>Hokkaido - 2010 S2</t>
  </si>
  <si>
    <t>Hokkaido - 2010 S3</t>
  </si>
  <si>
    <t>Hokkaido - 2010 total</t>
  </si>
  <si>
    <t>Hokkaido - 2011 S1</t>
  </si>
  <si>
    <t>21 Apr - 5 May 2011</t>
  </si>
  <si>
    <t>Hokkaido - 2011 S2</t>
  </si>
  <si>
    <t>Hokkaido - 2011 S3</t>
  </si>
  <si>
    <t>Hokkaido - 2011 total</t>
  </si>
  <si>
    <t>Hokkaido - 2012 S1</t>
  </si>
  <si>
    <t>20 Apr - 9 May 2012</t>
  </si>
  <si>
    <t>Hokkaido - 2012 S2</t>
  </si>
  <si>
    <t>Hokkaido - 2012 S3</t>
  </si>
  <si>
    <t>Hokkaido - 2012 total</t>
  </si>
  <si>
    <t>Hokkaido - 2013 S1</t>
  </si>
  <si>
    <t>16 Apr - 9 May 2013</t>
  </si>
  <si>
    <t>Hokkaido - 2013 S2</t>
  </si>
  <si>
    <t>Hokkaido - 2013 S3</t>
  </si>
  <si>
    <t>Hokkaido - 2013 total</t>
  </si>
  <si>
    <t>Hokkaido - 2014 S1</t>
  </si>
  <si>
    <t>12 Apr - 30 Apr 2014</t>
  </si>
  <si>
    <t>Hokkaido - 2014 S2</t>
  </si>
  <si>
    <t>Hokkaido - 2014 S3</t>
  </si>
  <si>
    <t>Hokkaido - 2014 total</t>
  </si>
  <si>
    <t>Hokkaido - 2015 S1</t>
  </si>
  <si>
    <t>20 Apr - 8 May 2015</t>
  </si>
  <si>
    <t>Hokkaido - 2015 S2</t>
  </si>
  <si>
    <t>Hokkaido - 2015 S3</t>
  </si>
  <si>
    <t>Hokkaido - 2015 total</t>
  </si>
  <si>
    <t>Hokkaido - 2016 S1</t>
  </si>
  <si>
    <t>28 Apr - 10 May 2016</t>
  </si>
  <si>
    <t>Hokkaido - 2016 S2</t>
  </si>
  <si>
    <t>Hokkaido - 2016 S3</t>
  </si>
  <si>
    <t>Hokkaido - 2016 total</t>
  </si>
  <si>
    <t>Hokkaido - 2017 S1</t>
  </si>
  <si>
    <t>17 Apr - 2 May 2017</t>
  </si>
  <si>
    <t>Hokkaido - 2017 S2</t>
  </si>
  <si>
    <t>Hokkaido - 2017 S3</t>
  </si>
  <si>
    <t>Hokkaido - 2017 total</t>
  </si>
  <si>
    <t>Hokkaido - 2018 S1 East</t>
  </si>
  <si>
    <t>18 Apr - 25 Apr 2018</t>
  </si>
  <si>
    <t>Hokkaido - 2018 S1 West</t>
  </si>
  <si>
    <t>Hokkaido - 2018 S2</t>
  </si>
  <si>
    <t>Hokkaido - 2018 S3</t>
  </si>
  <si>
    <t>Hokkaido - 2018 total</t>
  </si>
  <si>
    <t>Hokkaido - 2019 S1 East</t>
  </si>
  <si>
    <t>10 Apr - 23 Apr 2019</t>
  </si>
  <si>
    <t>Hokkaido - 2019 S1 West</t>
  </si>
  <si>
    <t>Hokkaido - 2019 S2</t>
  </si>
  <si>
    <t>Hokkaido - 2019 S3</t>
  </si>
  <si>
    <t>Hokkaido - 2019 total</t>
  </si>
  <si>
    <t>Hokkaido - April 2007 S1</t>
  </si>
  <si>
    <t>12 Apr - 19 Apr 2007</t>
  </si>
  <si>
    <t>Hokkaido - April 2007 S2</t>
  </si>
  <si>
    <t>Hokkaido - March 2007 S1</t>
  </si>
  <si>
    <t>21 Mar - 23 Mar 2007</t>
  </si>
  <si>
    <t>Hokkaido - March 2007 S2</t>
  </si>
  <si>
    <t>Glacier Bay - 2001</t>
  </si>
  <si>
    <t>Aerial and vessel</t>
  </si>
  <si>
    <t>may-Sep</t>
  </si>
  <si>
    <t>Glacier Bay - 2002</t>
  </si>
  <si>
    <t>Glacier Bay - 2003</t>
  </si>
  <si>
    <t>Glacier Bay - 2004</t>
  </si>
  <si>
    <t>Glacier Bay - 2005</t>
  </si>
  <si>
    <t>Glacier Bay - 2006</t>
  </si>
  <si>
    <t>Glacier Bay - 2007</t>
  </si>
  <si>
    <t>Glacier Bay - 2008</t>
  </si>
  <si>
    <t>Glacier Bay - 2009</t>
  </si>
  <si>
    <t>Glacier Bay - 2010</t>
  </si>
  <si>
    <t>Glacier Bay - 2011</t>
  </si>
  <si>
    <t>Glacier Bay - 2012</t>
  </si>
  <si>
    <t>Glacier Bay - 2013</t>
  </si>
  <si>
    <t>Glacier Bay - 2014</t>
  </si>
  <si>
    <t>Glacier Bay - 2015</t>
  </si>
  <si>
    <t>Glacier Bay - 2016</t>
  </si>
  <si>
    <t>Glacier Bay - 2017</t>
  </si>
  <si>
    <t>Bering Sea</t>
  </si>
  <si>
    <t>Aerial thermal imagery</t>
  </si>
  <si>
    <t>St Lawrence Island - S1</t>
  </si>
  <si>
    <t>St Lawrence Island - S2</t>
  </si>
  <si>
    <t>St Lawrence Island - S3</t>
  </si>
  <si>
    <t>St Lawrence Island - S4</t>
  </si>
  <si>
    <t>St Lawrence Island - S6</t>
  </si>
  <si>
    <t>St Lawrence Island - S7</t>
  </si>
  <si>
    <t>St Lawrence Island - total (excluding 5)</t>
  </si>
  <si>
    <t>1186/
0.25</t>
  </si>
  <si>
    <t>SE for abundance/
CV for abundance</t>
  </si>
  <si>
    <t>Northeast Water Polynya</t>
  </si>
  <si>
    <t>East Greenland</t>
  </si>
  <si>
    <t>North Pacific right whale</t>
  </si>
  <si>
    <t>East Bering continental shelf</t>
  </si>
  <si>
    <t>Acoustic - cue rate</t>
  </si>
  <si>
    <t>All months</t>
  </si>
  <si>
    <t>JARPNII - 2011 SA8</t>
  </si>
  <si>
    <t xml:space="preserve">May - Jun 2011 </t>
  </si>
  <si>
    <t>JARPNII - 2011 SA9N</t>
  </si>
  <si>
    <t>May - Jun 2012</t>
  </si>
  <si>
    <t>JARPNII -2008 SA9</t>
  </si>
  <si>
    <t>May- Jun 2008</t>
  </si>
  <si>
    <t>North Water S1 2010</t>
  </si>
  <si>
    <t>May-Jun 2010</t>
  </si>
  <si>
    <t>North Water S10 2010</t>
  </si>
  <si>
    <t>North Water S2 2010</t>
  </si>
  <si>
    <t>North Water S3 2010</t>
  </si>
  <si>
    <t>North Water S4 2010</t>
  </si>
  <si>
    <t>North Water S5 2010</t>
  </si>
  <si>
    <t>North Water S6 2010</t>
  </si>
  <si>
    <t>North Water S7 2010</t>
  </si>
  <si>
    <t>North Water S8 2010</t>
  </si>
  <si>
    <t>North Water S9 2010</t>
  </si>
  <si>
    <t>North Water Total 2010</t>
  </si>
  <si>
    <t>North Water S1 2009</t>
  </si>
  <si>
    <t>May-Jun 2009</t>
  </si>
  <si>
    <t>North Water S10 2009</t>
  </si>
  <si>
    <t>North Water S2 2009</t>
  </si>
  <si>
    <t>North Water S3 2009</t>
  </si>
  <si>
    <t>North Water S4 2009</t>
  </si>
  <si>
    <t>North Water S5 2009</t>
  </si>
  <si>
    <t>North Water S6 2009</t>
  </si>
  <si>
    <t>North Water S7 2009</t>
  </si>
  <si>
    <t>North Water S8 2009</t>
  </si>
  <si>
    <t>North Water S9 2009</t>
  </si>
  <si>
    <t>North Water Total 2009</t>
  </si>
  <si>
    <t>North Water Polynya S6 2009</t>
  </si>
  <si>
    <t>North Water Polynya S6 2010</t>
  </si>
  <si>
    <t>North Water Polynya S7 2009</t>
  </si>
  <si>
    <t>North Water Polynya S7 2010</t>
  </si>
  <si>
    <t>North Water Polynya S8 2009</t>
  </si>
  <si>
    <t>North Water Polynya S8 2010</t>
  </si>
  <si>
    <t>North Water Polynya S9 2009</t>
  </si>
  <si>
    <t>North Water Polynya S9 2010</t>
  </si>
  <si>
    <t>North Water Polynya Total 2009</t>
  </si>
  <si>
    <t>North Water Polynya Total 2010</t>
  </si>
  <si>
    <t>North Water Polynya S1 2010</t>
  </si>
  <si>
    <t>North Water Polynya S10 2010</t>
  </si>
  <si>
    <t>North Water S2 Polynya 2010</t>
  </si>
  <si>
    <t>North Water S3 Polynya 2010</t>
  </si>
  <si>
    <t>North Water Polynya S4 2010</t>
  </si>
  <si>
    <t>North Water Polynya S5 2010</t>
  </si>
  <si>
    <t>Admiralty Inlet area 2003</t>
  </si>
  <si>
    <t>Barrow Strait 2004</t>
  </si>
  <si>
    <t>East Baffin fjords 2003</t>
  </si>
  <si>
    <t>Eclipse sound area 2004</t>
  </si>
  <si>
    <t>Gulf of Boothia 2002</t>
  </si>
  <si>
    <t>Prince Regent inlet 2002</t>
  </si>
  <si>
    <t>Regent - Boothia 2002</t>
  </si>
  <si>
    <t>March-April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</si>
</sst>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00"/>
    <numFmt numFmtId="165" formatCode="_-* #,##0_-;\-* #,##0_-;_-* &quot;-&quot;??_-;_-@_-"/>
    <numFmt numFmtId="166" formatCode="0.0"/>
    <numFmt numFmtId="167" formatCode="0.0000"/>
  </numFmts>
  <fonts count="1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rgb="FF444444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sz val="11"/>
      <color rgb="FF000000"/>
      <name val="Utopia-Std"/>
      <charset val="1"/>
    </font>
    <font>
      <sz val="11"/>
      <color rgb="FF000000"/>
      <name val="Calibri"/>
    </font>
    <font>
      <sz val="11"/>
      <color rgb="FF000000"/>
      <name val="Open Sans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70AD47"/>
        <bgColor indexed="64"/>
      </patternFill>
    </fill>
  </fills>
  <borders count="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D0CECE"/>
      </left>
      <right style="thin">
        <color rgb="FFD0CECE"/>
      </right>
      <top style="thin">
        <color rgb="FFD0CECE"/>
      </top>
      <bottom style="thin">
        <color rgb="FFD0CECE"/>
      </bottom>
      <diagonal/>
    </border>
    <border>
      <left/>
      <right style="thin">
        <color rgb="FFD0CECE"/>
      </right>
      <top/>
      <bottom/>
      <diagonal/>
    </border>
  </borders>
  <cellStyleXfs count="3">
    <xf numFmtId="0" fontId="0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39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/>
    <xf numFmtId="0" fontId="1" fillId="0" borderId="0" xfId="0" applyFont="1"/>
    <xf numFmtId="3" fontId="1" fillId="0" borderId="0" xfId="0" applyNumberFormat="1" applyFont="1"/>
    <xf numFmtId="2" fontId="1" fillId="0" borderId="0" xfId="0" applyNumberFormat="1" applyFont="1"/>
    <xf numFmtId="16" fontId="0" fillId="0" borderId="0" xfId="0" applyNumberFormat="1" applyAlignment="1">
      <alignment horizontal="left"/>
    </xf>
    <xf numFmtId="165" fontId="0" fillId="0" borderId="0" xfId="2" applyNumberFormat="1" applyFont="1" applyAlignment="1">
      <alignment horizontal="right"/>
    </xf>
    <xf numFmtId="0" fontId="0" fillId="0" borderId="2" xfId="0" applyBorder="1"/>
    <xf numFmtId="3" fontId="0" fillId="0" borderId="0" xfId="0" applyNumberFormat="1"/>
    <xf numFmtId="4" fontId="0" fillId="0" borderId="0" xfId="0" applyNumberFormat="1"/>
    <xf numFmtId="0" fontId="0" fillId="0" borderId="0" xfId="0" quotePrefix="1"/>
    <xf numFmtId="0" fontId="4" fillId="0" borderId="0" xfId="0" quotePrefix="1" applyFont="1"/>
    <xf numFmtId="0" fontId="4" fillId="0" borderId="0" xfId="0" applyFont="1"/>
    <xf numFmtId="16" fontId="0" fillId="0" borderId="0" xfId="0" applyNumberFormat="1"/>
    <xf numFmtId="0" fontId="2" fillId="0" borderId="0" xfId="0" applyFont="1"/>
    <xf numFmtId="43" fontId="0" fillId="0" borderId="0" xfId="0" applyNumberFormat="1"/>
    <xf numFmtId="165" fontId="0" fillId="0" borderId="0" xfId="2" applyNumberFormat="1" applyFont="1" applyAlignment="1"/>
    <xf numFmtId="167" fontId="0" fillId="0" borderId="0" xfId="0" applyNumberFormat="1"/>
    <xf numFmtId="166" fontId="0" fillId="0" borderId="0" xfId="0" applyNumberFormat="1"/>
    <xf numFmtId="164" fontId="0" fillId="0" borderId="0" xfId="0" applyNumberFormat="1"/>
    <xf numFmtId="17" fontId="0" fillId="0" borderId="0" xfId="0" applyNumberFormat="1"/>
    <xf numFmtId="2" fontId="0" fillId="0" borderId="0" xfId="1" applyNumberFormat="1" applyFont="1" applyAlignment="1"/>
    <xf numFmtId="15" fontId="0" fillId="0" borderId="0" xfId="0" applyNumberFormat="1"/>
    <xf numFmtId="0" fontId="6" fillId="0" borderId="0" xfId="0" applyFont="1"/>
    <xf numFmtId="0" fontId="0" fillId="0" borderId="0" xfId="0" applyAlignment="1">
      <alignment horizontal="left"/>
    </xf>
    <xf numFmtId="0" fontId="0" fillId="0" borderId="2" xfId="0" applyBorder="1" applyAlignment="1">
      <alignment wrapText="1"/>
    </xf>
    <xf numFmtId="0" fontId="7" fillId="0" borderId="2" xfId="0" applyFont="1" applyBorder="1"/>
    <xf numFmtId="0" fontId="0" fillId="0" borderId="3" xfId="0" applyBorder="1"/>
    <xf numFmtId="0" fontId="2" fillId="2" borderId="0" xfId="0" applyFont="1" applyFill="1"/>
    <xf numFmtId="0" fontId="0" fillId="2" borderId="2" xfId="0" applyFill="1" applyBorder="1" applyAlignment="1">
      <alignment wrapText="1"/>
    </xf>
    <xf numFmtId="0" fontId="0" fillId="3" borderId="2" xfId="0" applyFill="1" applyBorder="1"/>
    <xf numFmtId="0" fontId="0" fillId="0" borderId="0" xfId="0" applyAlignment="1">
      <alignment wrapText="1"/>
    </xf>
    <xf numFmtId="0" fontId="2" fillId="2" borderId="2" xfId="0" applyFont="1" applyFill="1" applyBorder="1"/>
    <xf numFmtId="0" fontId="2" fillId="2" borderId="2" xfId="0" applyFont="1" applyFill="1" applyBorder="1" applyAlignment="1">
      <alignment wrapText="1"/>
    </xf>
    <xf numFmtId="0" fontId="10" fillId="0" borderId="0" xfId="0" applyFont="1" applyAlignment="1">
      <alignment wrapText="1"/>
    </xf>
    <xf numFmtId="0" fontId="10" fillId="0" borderId="2" xfId="0" applyFont="1" applyBorder="1" applyAlignment="1">
      <alignment horizontal="center" wrapText="1"/>
    </xf>
    <xf numFmtId="0" fontId="10" fillId="0" borderId="2" xfId="0" applyFont="1" applyBorder="1" applyAlignment="1">
      <alignment wrapText="1"/>
    </xf>
    <xf numFmtId="49" fontId="10" fillId="0" borderId="2" xfId="0" applyNumberFormat="1" applyFont="1" applyBorder="1" applyAlignment="1">
      <alignment horizontal="center" wrapText="1"/>
    </xf>
  </cellXfs>
  <cellStyles count="3">
    <cellStyle name="Comma" xfId="2" builtinId="3"/>
    <cellStyle name="Normal" xfId="0" builtinId="0"/>
    <cellStyle name="Percent" xfId="1" builtinId="5"/>
  </cellStyles>
  <dxfs count="275">
    <dxf>
      <fill>
        <patternFill patternType="solid">
          <bgColor rgb="FFF8696B"/>
        </patternFill>
      </fill>
    </dxf>
    <dxf>
      <fill>
        <patternFill patternType="solid">
          <bgColor rgb="FFFFEB84"/>
        </patternFill>
      </fill>
    </dxf>
    <dxf>
      <fill>
        <patternFill patternType="solid">
          <bgColor rgb="FFF8696B"/>
        </patternFill>
      </fill>
    </dxf>
    <dxf>
      <fill>
        <patternFill patternType="solid">
          <bgColor rgb="FFFFEB84"/>
        </patternFill>
      </fill>
    </dxf>
    <dxf>
      <font>
        <color rgb="FF000000"/>
      </font>
      <fill>
        <patternFill patternType="solid">
          <bgColor rgb="FF70AD47"/>
        </patternFill>
      </fill>
    </dxf>
    <dxf>
      <font>
        <color rgb="FF000000"/>
      </font>
      <fill>
        <patternFill patternType="solid">
          <bgColor rgb="FF92D050"/>
        </patternFill>
      </fill>
    </dxf>
    <dxf>
      <font>
        <color rgb="FF000000"/>
      </font>
      <fill>
        <patternFill patternType="solid">
          <bgColor rgb="FF92D050"/>
        </patternFill>
      </fill>
    </dxf>
    <dxf>
      <font>
        <color rgb="FF000000"/>
      </font>
      <fill>
        <patternFill patternType="solid">
          <bgColor rgb="FF92D050"/>
        </patternFill>
      </fill>
    </dxf>
    <dxf>
      <font>
        <color rgb="FF000000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BFBFBF"/>
        </patternFill>
      </fill>
    </dxf>
    <dxf>
      <font>
        <color rgb="FF000000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BFBFBF"/>
        </patternFill>
      </fill>
    </dxf>
    <dxf>
      <font>
        <color rgb="FF000000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BFBFBF"/>
        </patternFill>
      </fill>
    </dxf>
    <dxf>
      <font>
        <color rgb="FF000000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BFBFBF"/>
        </patternFill>
      </fill>
    </dxf>
    <dxf>
      <fill>
        <patternFill patternType="solid">
          <bgColor rgb="FFF8696B"/>
        </patternFill>
      </fill>
    </dxf>
    <dxf>
      <fill>
        <patternFill patternType="solid">
          <bgColor rgb="FFFFEB84"/>
        </patternFill>
      </fill>
    </dxf>
    <dxf>
      <fill>
        <patternFill patternType="solid">
          <bgColor rgb="FFF8696B"/>
        </patternFill>
      </fill>
    </dxf>
    <dxf>
      <fill>
        <patternFill patternType="solid">
          <bgColor rgb="FFFFEB84"/>
        </patternFill>
      </fill>
    </dxf>
    <dxf>
      <font>
        <color rgb="FF000000"/>
      </font>
      <fill>
        <patternFill patternType="solid">
          <bgColor rgb="FF70AD47"/>
        </patternFill>
      </fill>
    </dxf>
    <dxf>
      <font>
        <color rgb="FF000000"/>
      </font>
      <fill>
        <patternFill patternType="solid">
          <bgColor rgb="FF92D050"/>
        </patternFill>
      </fill>
    </dxf>
    <dxf>
      <fill>
        <patternFill patternType="solid">
          <bgColor rgb="FFF8696B"/>
        </patternFill>
      </fill>
    </dxf>
    <dxf>
      <fill>
        <patternFill patternType="solid">
          <bgColor rgb="FFFFEB84"/>
        </patternFill>
      </fill>
    </dxf>
    <dxf>
      <fill>
        <patternFill patternType="solid">
          <bgColor rgb="FFF8696B"/>
        </patternFill>
      </fill>
    </dxf>
    <dxf>
      <fill>
        <patternFill patternType="solid">
          <bgColor rgb="FFFFEB84"/>
        </patternFill>
      </fill>
    </dxf>
    <dxf>
      <font>
        <color rgb="FF000000"/>
      </font>
      <fill>
        <patternFill patternType="solid">
          <bgColor rgb="FF70AD47"/>
        </patternFill>
      </fill>
    </dxf>
    <dxf>
      <font>
        <color rgb="FF000000"/>
      </font>
      <fill>
        <patternFill patternType="solid">
          <bgColor rgb="FF92D050"/>
        </patternFill>
      </fill>
    </dxf>
    <dxf>
      <fill>
        <patternFill patternType="solid">
          <bgColor rgb="FFF8696B"/>
        </patternFill>
      </fill>
    </dxf>
    <dxf>
      <fill>
        <patternFill patternType="solid">
          <bgColor rgb="FFFFEB84"/>
        </patternFill>
      </fill>
    </dxf>
    <dxf>
      <fill>
        <patternFill patternType="solid">
          <bgColor rgb="FFF8696B"/>
        </patternFill>
      </fill>
    </dxf>
    <dxf>
      <fill>
        <patternFill patternType="solid">
          <bgColor rgb="FFFFEB84"/>
        </patternFill>
      </fill>
    </dxf>
    <dxf>
      <font>
        <color rgb="FF000000"/>
      </font>
      <fill>
        <patternFill patternType="solid">
          <bgColor rgb="FF70AD47"/>
        </patternFill>
      </fill>
    </dxf>
    <dxf>
      <font>
        <color rgb="FF000000"/>
      </font>
      <fill>
        <patternFill patternType="solid">
          <bgColor rgb="FF92D050"/>
        </patternFill>
      </fill>
    </dxf>
    <dxf>
      <fill>
        <patternFill patternType="solid">
          <bgColor rgb="FFF8696B"/>
        </patternFill>
      </fill>
    </dxf>
    <dxf>
      <fill>
        <patternFill patternType="solid">
          <bgColor rgb="FFFFEB84"/>
        </patternFill>
      </fill>
    </dxf>
    <dxf>
      <fill>
        <patternFill patternType="solid">
          <bgColor rgb="FFF8696B"/>
        </patternFill>
      </fill>
    </dxf>
    <dxf>
      <fill>
        <patternFill patternType="solid">
          <bgColor rgb="FFFFEB84"/>
        </patternFill>
      </fill>
    </dxf>
    <dxf>
      <font>
        <color rgb="FF000000"/>
      </font>
      <fill>
        <patternFill patternType="solid">
          <bgColor rgb="FF70AD47"/>
        </patternFill>
      </fill>
    </dxf>
    <dxf>
      <font>
        <color rgb="FF000000"/>
      </font>
      <fill>
        <patternFill patternType="solid">
          <bgColor rgb="FF92D050"/>
        </patternFill>
      </fill>
    </dxf>
    <dxf>
      <fill>
        <patternFill patternType="solid">
          <bgColor rgb="FFF8696B"/>
        </patternFill>
      </fill>
    </dxf>
    <dxf>
      <fill>
        <patternFill patternType="solid">
          <bgColor rgb="FFFFEB84"/>
        </patternFill>
      </fill>
    </dxf>
    <dxf>
      <fill>
        <patternFill patternType="solid">
          <bgColor rgb="FFF8696B"/>
        </patternFill>
      </fill>
    </dxf>
    <dxf>
      <fill>
        <patternFill patternType="solid">
          <bgColor rgb="FFFFEB84"/>
        </patternFill>
      </fill>
    </dxf>
    <dxf>
      <font>
        <color rgb="FF000000"/>
      </font>
      <fill>
        <patternFill patternType="solid">
          <bgColor rgb="FF70AD47"/>
        </patternFill>
      </fill>
    </dxf>
    <dxf>
      <font>
        <color rgb="FF000000"/>
      </font>
      <fill>
        <patternFill patternType="solid">
          <bgColor rgb="FF92D050"/>
        </patternFill>
      </fill>
    </dxf>
    <dxf>
      <fill>
        <patternFill patternType="solid">
          <bgColor rgb="FFF8696B"/>
        </patternFill>
      </fill>
    </dxf>
    <dxf>
      <fill>
        <patternFill patternType="solid">
          <bgColor rgb="FFFFEB84"/>
        </patternFill>
      </fill>
    </dxf>
    <dxf>
      <fill>
        <patternFill patternType="solid">
          <bgColor rgb="FFF8696B"/>
        </patternFill>
      </fill>
    </dxf>
    <dxf>
      <fill>
        <patternFill patternType="solid">
          <bgColor rgb="FFFFEB84"/>
        </patternFill>
      </fill>
    </dxf>
    <dxf>
      <font>
        <color rgb="FF000000"/>
      </font>
      <fill>
        <patternFill patternType="solid">
          <bgColor rgb="FF70AD47"/>
        </patternFill>
      </fill>
    </dxf>
    <dxf>
      <font>
        <color rgb="FF000000"/>
      </font>
      <fill>
        <patternFill patternType="solid">
          <bgColor rgb="FF92D050"/>
        </patternFill>
      </fill>
    </dxf>
    <dxf>
      <fill>
        <patternFill patternType="solid">
          <bgColor rgb="FFF8696B"/>
        </patternFill>
      </fill>
    </dxf>
    <dxf>
      <fill>
        <patternFill patternType="solid">
          <bgColor rgb="FFFFEB84"/>
        </patternFill>
      </fill>
    </dxf>
    <dxf>
      <fill>
        <patternFill patternType="solid">
          <bgColor rgb="FFF8696B"/>
        </patternFill>
      </fill>
    </dxf>
    <dxf>
      <fill>
        <patternFill patternType="solid">
          <bgColor rgb="FFFFEB84"/>
        </patternFill>
      </fill>
    </dxf>
    <dxf>
      <font>
        <color rgb="FF000000"/>
      </font>
      <fill>
        <patternFill patternType="solid">
          <bgColor rgb="FF70AD47"/>
        </patternFill>
      </fill>
    </dxf>
    <dxf>
      <font>
        <color rgb="FF000000"/>
      </font>
      <fill>
        <patternFill patternType="solid">
          <bgColor rgb="FF92D050"/>
        </patternFill>
      </fill>
    </dxf>
    <dxf>
      <fill>
        <patternFill patternType="solid">
          <bgColor rgb="FFF8696B"/>
        </patternFill>
      </fill>
    </dxf>
    <dxf>
      <fill>
        <patternFill patternType="solid">
          <bgColor rgb="FFFFEB84"/>
        </patternFill>
      </fill>
    </dxf>
    <dxf>
      <fill>
        <patternFill patternType="solid">
          <bgColor rgb="FFF8696B"/>
        </patternFill>
      </fill>
    </dxf>
    <dxf>
      <fill>
        <patternFill patternType="solid">
          <bgColor rgb="FFFFEB84"/>
        </patternFill>
      </fill>
    </dxf>
    <dxf>
      <font>
        <color rgb="FF000000"/>
      </font>
      <fill>
        <patternFill patternType="solid">
          <bgColor rgb="FF70AD47"/>
        </patternFill>
      </fill>
    </dxf>
    <dxf>
      <font>
        <color rgb="FF000000"/>
      </font>
      <fill>
        <patternFill patternType="solid">
          <bgColor rgb="FF92D050"/>
        </patternFill>
      </fill>
    </dxf>
    <dxf>
      <fill>
        <patternFill patternType="solid">
          <bgColor rgb="FFF8696B"/>
        </patternFill>
      </fill>
    </dxf>
    <dxf>
      <fill>
        <patternFill patternType="solid">
          <bgColor rgb="FFFFEB84"/>
        </patternFill>
      </fill>
    </dxf>
    <dxf>
      <fill>
        <patternFill patternType="solid">
          <bgColor rgb="FFF8696B"/>
        </patternFill>
      </fill>
    </dxf>
    <dxf>
      <fill>
        <patternFill patternType="solid">
          <bgColor rgb="FFFFEB84"/>
        </patternFill>
      </fill>
    </dxf>
    <dxf>
      <font>
        <color rgb="FF000000"/>
      </font>
      <fill>
        <patternFill patternType="solid">
          <bgColor rgb="FF70AD47"/>
        </patternFill>
      </fill>
    </dxf>
    <dxf>
      <font>
        <color rgb="FF000000"/>
      </font>
      <fill>
        <patternFill patternType="solid">
          <bgColor rgb="FF92D050"/>
        </patternFill>
      </fill>
    </dxf>
    <dxf>
      <fill>
        <patternFill patternType="solid">
          <bgColor rgb="FFF8696B"/>
        </patternFill>
      </fill>
    </dxf>
    <dxf>
      <fill>
        <patternFill patternType="solid">
          <bgColor rgb="FFFFEB84"/>
        </patternFill>
      </fill>
    </dxf>
    <dxf>
      <fill>
        <patternFill patternType="solid">
          <bgColor rgb="FFF8696B"/>
        </patternFill>
      </fill>
    </dxf>
    <dxf>
      <fill>
        <patternFill patternType="solid">
          <bgColor rgb="FFFFEB84"/>
        </patternFill>
      </fill>
    </dxf>
    <dxf>
      <font>
        <color rgb="FF000000"/>
      </font>
      <fill>
        <patternFill patternType="solid">
          <bgColor rgb="FF70AD47"/>
        </patternFill>
      </fill>
    </dxf>
    <dxf>
      <fill>
        <patternFill patternType="solid">
          <bgColor rgb="FFF8696B"/>
        </patternFill>
      </fill>
    </dxf>
    <dxf>
      <fill>
        <patternFill patternType="solid">
          <bgColor rgb="FFFFEB84"/>
        </patternFill>
      </fill>
    </dxf>
    <dxf>
      <fill>
        <patternFill patternType="solid">
          <bgColor rgb="FFF8696B"/>
        </patternFill>
      </fill>
    </dxf>
    <dxf>
      <fill>
        <patternFill patternType="solid">
          <bgColor rgb="FFFFEB84"/>
        </patternFill>
      </fill>
    </dxf>
    <dxf>
      <font>
        <color rgb="FF000000"/>
      </font>
      <fill>
        <patternFill patternType="solid">
          <bgColor rgb="FF70AD47"/>
        </patternFill>
      </fill>
    </dxf>
    <dxf>
      <fill>
        <patternFill patternType="solid">
          <bgColor rgb="FFF8696B"/>
        </patternFill>
      </fill>
    </dxf>
    <dxf>
      <fill>
        <patternFill patternType="solid">
          <bgColor rgb="FFFFEB84"/>
        </patternFill>
      </fill>
    </dxf>
    <dxf>
      <fill>
        <patternFill patternType="solid">
          <bgColor rgb="FFF8696B"/>
        </patternFill>
      </fill>
    </dxf>
    <dxf>
      <fill>
        <patternFill patternType="solid">
          <bgColor rgb="FFFFEB84"/>
        </patternFill>
      </fill>
    </dxf>
    <dxf>
      <font>
        <color rgb="FF000000"/>
      </font>
      <fill>
        <patternFill patternType="solid">
          <bgColor rgb="FF70AD47"/>
        </patternFill>
      </fill>
    </dxf>
    <dxf>
      <font>
        <color rgb="FF000000"/>
      </font>
      <fill>
        <patternFill patternType="solid">
          <bgColor rgb="FF92D050"/>
        </patternFill>
      </fill>
    </dxf>
    <dxf>
      <fill>
        <patternFill patternType="solid">
          <bgColor rgb="FFF8696B"/>
        </patternFill>
      </fill>
    </dxf>
    <dxf>
      <fill>
        <patternFill patternType="solid">
          <bgColor rgb="FFFFEB84"/>
        </patternFill>
      </fill>
    </dxf>
    <dxf>
      <fill>
        <patternFill patternType="solid">
          <bgColor rgb="FFF8696B"/>
        </patternFill>
      </fill>
    </dxf>
    <dxf>
      <fill>
        <patternFill patternType="solid">
          <bgColor rgb="FFFFEB84"/>
        </patternFill>
      </fill>
    </dxf>
    <dxf>
      <font>
        <color rgb="FF000000"/>
      </font>
      <fill>
        <patternFill patternType="solid">
          <bgColor rgb="FF70AD47"/>
        </patternFill>
      </fill>
    </dxf>
    <dxf>
      <font>
        <color rgb="FF000000"/>
      </font>
      <fill>
        <patternFill patternType="solid">
          <bgColor rgb="FF92D050"/>
        </patternFill>
      </fill>
    </dxf>
    <dxf>
      <fill>
        <patternFill patternType="solid">
          <bgColor rgb="FFF8696B"/>
        </patternFill>
      </fill>
    </dxf>
    <dxf>
      <fill>
        <patternFill patternType="solid">
          <bgColor rgb="FFFFEB84"/>
        </patternFill>
      </fill>
    </dxf>
    <dxf>
      <fill>
        <patternFill patternType="solid">
          <bgColor rgb="FFF8696B"/>
        </patternFill>
      </fill>
    </dxf>
    <dxf>
      <fill>
        <patternFill patternType="solid">
          <bgColor rgb="FFFFEB84"/>
        </patternFill>
      </fill>
    </dxf>
    <dxf>
      <font>
        <color rgb="FF000000"/>
      </font>
      <fill>
        <patternFill patternType="solid">
          <bgColor rgb="FF70AD47"/>
        </patternFill>
      </fill>
    </dxf>
    <dxf>
      <fill>
        <patternFill patternType="solid">
          <bgColor rgb="FFF8696B"/>
        </patternFill>
      </fill>
    </dxf>
    <dxf>
      <fill>
        <patternFill patternType="solid">
          <bgColor rgb="FFFFEB84"/>
        </patternFill>
      </fill>
    </dxf>
    <dxf>
      <fill>
        <patternFill patternType="solid">
          <bgColor rgb="FFF8696B"/>
        </patternFill>
      </fill>
    </dxf>
    <dxf>
      <fill>
        <patternFill patternType="solid">
          <bgColor rgb="FFFFEB84"/>
        </patternFill>
      </fill>
    </dxf>
    <dxf>
      <font>
        <color rgb="FF000000"/>
      </font>
      <fill>
        <patternFill patternType="solid">
          <bgColor rgb="FF70AD47"/>
        </patternFill>
      </fill>
    </dxf>
    <dxf>
      <fill>
        <patternFill patternType="solid">
          <bgColor rgb="FFF8696B"/>
        </patternFill>
      </fill>
    </dxf>
    <dxf>
      <fill>
        <patternFill patternType="solid">
          <bgColor rgb="FFFFEB84"/>
        </patternFill>
      </fill>
    </dxf>
    <dxf>
      <fill>
        <patternFill patternType="solid">
          <bgColor rgb="FFF8696B"/>
        </patternFill>
      </fill>
    </dxf>
    <dxf>
      <fill>
        <patternFill patternType="solid">
          <bgColor rgb="FFFFEB84"/>
        </patternFill>
      </fill>
    </dxf>
    <dxf>
      <font>
        <color rgb="FF000000"/>
      </font>
      <fill>
        <patternFill patternType="solid">
          <bgColor rgb="FF70AD47"/>
        </patternFill>
      </fill>
    </dxf>
    <dxf>
      <fill>
        <patternFill patternType="solid">
          <bgColor rgb="FFF8696B"/>
        </patternFill>
      </fill>
    </dxf>
    <dxf>
      <fill>
        <patternFill patternType="solid">
          <bgColor rgb="FFFFEB84"/>
        </patternFill>
      </fill>
    </dxf>
    <dxf>
      <font>
        <color rgb="FF000000"/>
      </font>
      <fill>
        <patternFill patternType="solid">
          <bgColor rgb="FF70AD47"/>
        </patternFill>
      </fill>
    </dxf>
    <dxf>
      <font>
        <color rgb="FF000000"/>
      </font>
      <fill>
        <patternFill patternType="solid">
          <bgColor rgb="FF92D050"/>
        </patternFill>
      </fill>
    </dxf>
    <dxf>
      <fill>
        <patternFill patternType="solid">
          <bgColor rgb="FFF8696B"/>
        </patternFill>
      </fill>
    </dxf>
    <dxf>
      <fill>
        <patternFill patternType="solid">
          <bgColor rgb="FFFFEB84"/>
        </patternFill>
      </fill>
    </dxf>
    <dxf>
      <fill>
        <patternFill patternType="solid">
          <bgColor rgb="FFF8696B"/>
        </patternFill>
      </fill>
    </dxf>
    <dxf>
      <fill>
        <patternFill patternType="solid">
          <bgColor rgb="FFFFEB84"/>
        </patternFill>
      </fill>
    </dxf>
    <dxf>
      <font>
        <color rgb="FF000000"/>
      </font>
      <fill>
        <patternFill patternType="solid">
          <bgColor rgb="FF70AD47"/>
        </patternFill>
      </fill>
    </dxf>
    <dxf>
      <font>
        <color rgb="FF000000"/>
      </font>
      <fill>
        <patternFill patternType="solid">
          <bgColor rgb="FF92D050"/>
        </patternFill>
      </fill>
    </dxf>
    <dxf>
      <fill>
        <patternFill patternType="solid">
          <bgColor rgb="FFF8696B"/>
        </patternFill>
      </fill>
    </dxf>
    <dxf>
      <fill>
        <patternFill patternType="solid">
          <bgColor rgb="FFFFEB84"/>
        </patternFill>
      </fill>
    </dxf>
    <dxf>
      <fill>
        <patternFill patternType="solid">
          <bgColor rgb="FFF8696B"/>
        </patternFill>
      </fill>
    </dxf>
    <dxf>
      <fill>
        <patternFill patternType="solid">
          <bgColor rgb="FFFFEB84"/>
        </patternFill>
      </fill>
    </dxf>
    <dxf>
      <font>
        <color rgb="FF000000"/>
      </font>
      <fill>
        <patternFill patternType="solid">
          <bgColor rgb="FF70AD47"/>
        </patternFill>
      </fill>
    </dxf>
    <dxf>
      <fill>
        <patternFill patternType="solid">
          <bgColor rgb="FFF8696B"/>
        </patternFill>
      </fill>
    </dxf>
    <dxf>
      <fill>
        <patternFill patternType="solid">
          <bgColor rgb="FFFFEB84"/>
        </patternFill>
      </fill>
    </dxf>
    <dxf>
      <font>
        <color rgb="FF000000"/>
      </font>
      <fill>
        <patternFill patternType="solid">
          <bgColor rgb="FF70AD47"/>
        </patternFill>
      </fill>
    </dxf>
    <dxf>
      <font>
        <color rgb="FF000000"/>
      </font>
      <fill>
        <patternFill patternType="solid">
          <bgColor rgb="FF92D050"/>
        </patternFill>
      </fill>
    </dxf>
    <dxf>
      <font>
        <color rgb="FF000000"/>
      </font>
      <fill>
        <patternFill patternType="solid">
          <bgColor rgb="FF70AD47"/>
        </patternFill>
      </fill>
    </dxf>
    <dxf>
      <fill>
        <patternFill patternType="solid">
          <bgColor rgb="FFF8696B"/>
        </patternFill>
      </fill>
    </dxf>
    <dxf>
      <fill>
        <patternFill patternType="solid">
          <bgColor rgb="FFFFEB84"/>
        </patternFill>
      </fill>
    </dxf>
    <dxf>
      <fill>
        <patternFill patternType="solid">
          <bgColor rgb="FFF8696B"/>
        </patternFill>
      </fill>
    </dxf>
    <dxf>
      <fill>
        <patternFill patternType="solid">
          <bgColor rgb="FFFFEB84"/>
        </patternFill>
      </fill>
    </dxf>
    <dxf>
      <font>
        <color rgb="FF000000"/>
      </font>
      <fill>
        <patternFill patternType="solid">
          <bgColor rgb="FF70AD47"/>
        </patternFill>
      </fill>
    </dxf>
    <dxf>
      <font>
        <color rgb="FF000000"/>
      </font>
      <fill>
        <patternFill patternType="solid">
          <bgColor rgb="FF92D050"/>
        </patternFill>
      </fill>
    </dxf>
    <dxf>
      <fill>
        <patternFill patternType="solid">
          <bgColor rgb="FFF8696B"/>
        </patternFill>
      </fill>
    </dxf>
    <dxf>
      <fill>
        <patternFill patternType="solid">
          <bgColor rgb="FFFFEB84"/>
        </patternFill>
      </fill>
    </dxf>
    <dxf>
      <fill>
        <patternFill patternType="solid">
          <bgColor rgb="FFF8696B"/>
        </patternFill>
      </fill>
    </dxf>
    <dxf>
      <fill>
        <patternFill patternType="solid">
          <bgColor rgb="FFFFEB84"/>
        </patternFill>
      </fill>
    </dxf>
    <dxf>
      <font>
        <color rgb="FF000000"/>
      </font>
      <fill>
        <patternFill patternType="solid">
          <bgColor rgb="FF70AD47"/>
        </patternFill>
      </fill>
    </dxf>
    <dxf>
      <font>
        <color rgb="FF000000"/>
      </font>
      <fill>
        <patternFill patternType="solid">
          <bgColor rgb="FF92D050"/>
        </patternFill>
      </fill>
    </dxf>
    <dxf>
      <fill>
        <patternFill patternType="solid">
          <bgColor rgb="FFF8696B"/>
        </patternFill>
      </fill>
    </dxf>
    <dxf>
      <fill>
        <patternFill patternType="solid">
          <bgColor rgb="FFFFEB84"/>
        </patternFill>
      </fill>
    </dxf>
    <dxf>
      <fill>
        <patternFill patternType="solid">
          <bgColor rgb="FFF8696B"/>
        </patternFill>
      </fill>
    </dxf>
    <dxf>
      <fill>
        <patternFill patternType="solid">
          <bgColor rgb="FFFFEB84"/>
        </patternFill>
      </fill>
    </dxf>
    <dxf>
      <font>
        <color rgb="FF000000"/>
      </font>
      <fill>
        <patternFill patternType="solid">
          <bgColor rgb="FF70AD47"/>
        </patternFill>
      </fill>
    </dxf>
    <dxf>
      <font>
        <color rgb="FF000000"/>
      </font>
      <fill>
        <patternFill patternType="solid">
          <bgColor rgb="FF92D050"/>
        </patternFill>
      </fill>
    </dxf>
    <dxf>
      <fill>
        <patternFill patternType="solid">
          <bgColor rgb="FFF8696B"/>
        </patternFill>
      </fill>
    </dxf>
    <dxf>
      <fill>
        <patternFill patternType="solid">
          <bgColor rgb="FFFFEB84"/>
        </patternFill>
      </fill>
    </dxf>
    <dxf>
      <fill>
        <patternFill patternType="solid">
          <bgColor rgb="FFF8696B"/>
        </patternFill>
      </fill>
    </dxf>
    <dxf>
      <fill>
        <patternFill patternType="solid">
          <bgColor rgb="FFFFEB84"/>
        </patternFill>
      </fill>
    </dxf>
    <dxf>
      <font>
        <color rgb="FF000000"/>
      </font>
      <fill>
        <patternFill patternType="solid">
          <bgColor rgb="FF70AD47"/>
        </patternFill>
      </fill>
    </dxf>
    <dxf>
      <font>
        <color rgb="FF000000"/>
      </font>
      <fill>
        <patternFill patternType="solid">
          <bgColor rgb="FF92D050"/>
        </patternFill>
      </fill>
    </dxf>
    <dxf>
      <fill>
        <patternFill patternType="solid">
          <bgColor rgb="FFF8696B"/>
        </patternFill>
      </fill>
    </dxf>
    <dxf>
      <fill>
        <patternFill patternType="solid">
          <bgColor rgb="FFFFEB84"/>
        </patternFill>
      </fill>
    </dxf>
    <dxf>
      <fill>
        <patternFill patternType="solid">
          <bgColor rgb="FFF8696B"/>
        </patternFill>
      </fill>
    </dxf>
    <dxf>
      <fill>
        <patternFill patternType="solid">
          <bgColor rgb="FFFFEB84"/>
        </patternFill>
      </fill>
    </dxf>
    <dxf>
      <font>
        <color rgb="FF000000"/>
      </font>
      <fill>
        <patternFill patternType="solid">
          <bgColor rgb="FF70AD47"/>
        </patternFill>
      </fill>
    </dxf>
    <dxf>
      <font>
        <color rgb="FF000000"/>
      </font>
      <fill>
        <patternFill patternType="solid">
          <bgColor rgb="FF92D050"/>
        </patternFill>
      </fill>
    </dxf>
    <dxf>
      <font>
        <color rgb="FF000000"/>
      </font>
      <fill>
        <patternFill patternType="solid">
          <bgColor rgb="FF92D050"/>
        </patternFill>
      </fill>
    </dxf>
    <dxf>
      <fill>
        <patternFill patternType="solid">
          <bgColor rgb="FFF8696B"/>
        </patternFill>
      </fill>
    </dxf>
    <dxf>
      <fill>
        <patternFill patternType="solid">
          <bgColor rgb="FFFFEB84"/>
        </patternFill>
      </fill>
    </dxf>
    <dxf>
      <fill>
        <patternFill patternType="solid">
          <bgColor rgb="FFF8696B"/>
        </patternFill>
      </fill>
    </dxf>
    <dxf>
      <fill>
        <patternFill patternType="solid">
          <bgColor rgb="FFFFEB84"/>
        </patternFill>
      </fill>
    </dxf>
    <dxf>
      <font>
        <color rgb="FF000000"/>
      </font>
      <fill>
        <patternFill patternType="solid">
          <bgColor rgb="FF70AD47"/>
        </patternFill>
      </fill>
    </dxf>
    <dxf>
      <font>
        <color rgb="FF000000"/>
      </font>
      <fill>
        <patternFill patternType="solid">
          <bgColor rgb="FF92D050"/>
        </patternFill>
      </fill>
    </dxf>
    <dxf>
      <fill>
        <patternFill patternType="solid">
          <bgColor rgb="FFF8696B"/>
        </patternFill>
      </fill>
    </dxf>
    <dxf>
      <fill>
        <patternFill patternType="solid">
          <bgColor rgb="FFFFEB84"/>
        </patternFill>
      </fill>
    </dxf>
    <dxf>
      <fill>
        <patternFill patternType="solid">
          <bgColor rgb="FFF8696B"/>
        </patternFill>
      </fill>
    </dxf>
    <dxf>
      <fill>
        <patternFill patternType="solid">
          <bgColor rgb="FFFFEB84"/>
        </patternFill>
      </fill>
    </dxf>
    <dxf>
      <font>
        <color rgb="FF000000"/>
      </font>
      <fill>
        <patternFill patternType="solid">
          <bgColor rgb="FF70AD47"/>
        </patternFill>
      </fill>
    </dxf>
    <dxf>
      <font>
        <color rgb="FF000000"/>
      </font>
      <fill>
        <patternFill patternType="solid">
          <bgColor rgb="FF92D050"/>
        </patternFill>
      </fill>
    </dxf>
    <dxf>
      <fill>
        <patternFill patternType="solid">
          <bgColor rgb="FFF8696B"/>
        </patternFill>
      </fill>
    </dxf>
    <dxf>
      <fill>
        <patternFill patternType="solid">
          <bgColor rgb="FFFFEB84"/>
        </patternFill>
      </fill>
    </dxf>
    <dxf>
      <fill>
        <patternFill patternType="solid">
          <bgColor rgb="FFF8696B"/>
        </patternFill>
      </fill>
    </dxf>
    <dxf>
      <fill>
        <patternFill patternType="solid">
          <bgColor rgb="FFFFEB84"/>
        </patternFill>
      </fill>
    </dxf>
    <dxf>
      <font>
        <color rgb="FF000000"/>
      </font>
      <fill>
        <patternFill patternType="solid">
          <bgColor rgb="FF70AD47"/>
        </patternFill>
      </fill>
    </dxf>
    <dxf>
      <font>
        <color rgb="FF000000"/>
      </font>
      <fill>
        <patternFill patternType="solid">
          <bgColor rgb="FF92D050"/>
        </patternFill>
      </fill>
    </dxf>
    <dxf>
      <fill>
        <patternFill patternType="solid">
          <bgColor rgb="FFF8696B"/>
        </patternFill>
      </fill>
    </dxf>
    <dxf>
      <fill>
        <patternFill patternType="solid">
          <bgColor rgb="FFFFEB84"/>
        </patternFill>
      </fill>
    </dxf>
    <dxf>
      <fill>
        <patternFill patternType="solid">
          <bgColor rgb="FFF8696B"/>
        </patternFill>
      </fill>
    </dxf>
    <dxf>
      <fill>
        <patternFill patternType="solid">
          <bgColor rgb="FFFFEB84"/>
        </patternFill>
      </fill>
    </dxf>
    <dxf>
      <font>
        <color rgb="FF000000"/>
      </font>
      <fill>
        <patternFill patternType="solid">
          <bgColor rgb="FF70AD47"/>
        </patternFill>
      </fill>
    </dxf>
    <dxf>
      <font>
        <color rgb="FF000000"/>
      </font>
      <fill>
        <patternFill patternType="solid">
          <bgColor rgb="FF92D050"/>
        </patternFill>
      </fill>
    </dxf>
    <dxf>
      <fill>
        <patternFill patternType="solid">
          <bgColor rgb="FFF8696B"/>
        </patternFill>
      </fill>
    </dxf>
    <dxf>
      <fill>
        <patternFill patternType="solid">
          <bgColor rgb="FFFFEB84"/>
        </patternFill>
      </fill>
    </dxf>
    <dxf>
      <fill>
        <patternFill patternType="solid">
          <bgColor rgb="FFF8696B"/>
        </patternFill>
      </fill>
    </dxf>
    <dxf>
      <fill>
        <patternFill patternType="solid">
          <bgColor rgb="FFFFEB84"/>
        </patternFill>
      </fill>
    </dxf>
    <dxf>
      <font>
        <color rgb="FF000000"/>
      </font>
      <fill>
        <patternFill patternType="solid">
          <bgColor rgb="FF70AD47"/>
        </patternFill>
      </fill>
    </dxf>
    <dxf>
      <font>
        <color rgb="FF000000"/>
      </font>
      <fill>
        <patternFill patternType="solid">
          <bgColor rgb="FF92D050"/>
        </patternFill>
      </fill>
    </dxf>
    <dxf>
      <fill>
        <patternFill patternType="solid">
          <bgColor rgb="FFF8696B"/>
        </patternFill>
      </fill>
    </dxf>
    <dxf>
      <fill>
        <patternFill patternType="solid">
          <bgColor rgb="FFFFEB84"/>
        </patternFill>
      </fill>
    </dxf>
    <dxf>
      <fill>
        <patternFill patternType="solid">
          <bgColor rgb="FFF8696B"/>
        </patternFill>
      </fill>
    </dxf>
    <dxf>
      <fill>
        <patternFill patternType="solid">
          <bgColor rgb="FFFFEB84"/>
        </patternFill>
      </fill>
    </dxf>
    <dxf>
      <font>
        <color rgb="FF000000"/>
      </font>
      <fill>
        <patternFill patternType="solid">
          <bgColor rgb="FF70AD47"/>
        </patternFill>
      </fill>
    </dxf>
    <dxf>
      <font>
        <color rgb="FF000000"/>
      </font>
      <fill>
        <patternFill patternType="solid">
          <bgColor rgb="FF92D050"/>
        </patternFill>
      </fill>
    </dxf>
    <dxf>
      <fill>
        <patternFill patternType="solid">
          <bgColor rgb="FFF8696B"/>
        </patternFill>
      </fill>
    </dxf>
    <dxf>
      <fill>
        <patternFill patternType="solid">
          <bgColor rgb="FFFFEB84"/>
        </patternFill>
      </fill>
    </dxf>
    <dxf>
      <fill>
        <patternFill patternType="solid">
          <bgColor rgb="FFF8696B"/>
        </patternFill>
      </fill>
    </dxf>
    <dxf>
      <fill>
        <patternFill patternType="solid">
          <bgColor rgb="FFFFEB84"/>
        </patternFill>
      </fill>
    </dxf>
    <dxf>
      <font>
        <color rgb="FF000000"/>
      </font>
      <fill>
        <patternFill patternType="solid">
          <bgColor rgb="FF70AD47"/>
        </patternFill>
      </fill>
    </dxf>
    <dxf>
      <font>
        <color rgb="FF000000"/>
      </font>
      <fill>
        <patternFill patternType="solid">
          <bgColor rgb="FF92D050"/>
        </patternFill>
      </fill>
    </dxf>
    <dxf>
      <fill>
        <patternFill patternType="solid">
          <bgColor rgb="FFF8696B"/>
        </patternFill>
      </fill>
    </dxf>
    <dxf>
      <fill>
        <patternFill patternType="solid">
          <bgColor rgb="FFFFEB84"/>
        </patternFill>
      </fill>
    </dxf>
    <dxf>
      <fill>
        <patternFill patternType="solid">
          <bgColor rgb="FFF8696B"/>
        </patternFill>
      </fill>
    </dxf>
    <dxf>
      <fill>
        <patternFill patternType="solid">
          <bgColor rgb="FFFFEB84"/>
        </patternFill>
      </fill>
    </dxf>
    <dxf>
      <font>
        <color rgb="FF000000"/>
      </font>
      <fill>
        <patternFill patternType="solid">
          <bgColor rgb="FF70AD47"/>
        </patternFill>
      </fill>
    </dxf>
    <dxf>
      <font>
        <color rgb="FF000000"/>
      </font>
      <fill>
        <patternFill patternType="solid">
          <bgColor rgb="FF92D050"/>
        </patternFill>
      </fill>
    </dxf>
    <dxf>
      <fill>
        <patternFill patternType="solid">
          <bgColor rgb="FFF8696B"/>
        </patternFill>
      </fill>
    </dxf>
    <dxf>
      <fill>
        <patternFill patternType="solid">
          <bgColor rgb="FFFFEB84"/>
        </patternFill>
      </fill>
    </dxf>
    <dxf>
      <fill>
        <patternFill patternType="solid">
          <bgColor rgb="FFF8696B"/>
        </patternFill>
      </fill>
    </dxf>
    <dxf>
      <fill>
        <patternFill patternType="solid">
          <bgColor rgb="FFFFEB84"/>
        </patternFill>
      </fill>
    </dxf>
    <dxf>
      <font>
        <color rgb="FF000000"/>
      </font>
      <fill>
        <patternFill patternType="solid">
          <bgColor rgb="FF70AD47"/>
        </patternFill>
      </fill>
    </dxf>
    <dxf>
      <font>
        <color rgb="FF000000"/>
      </font>
      <fill>
        <patternFill patternType="solid">
          <bgColor rgb="FF92D050"/>
        </patternFill>
      </fill>
    </dxf>
    <dxf>
      <fill>
        <patternFill patternType="solid">
          <bgColor rgb="FFF8696B"/>
        </patternFill>
      </fill>
    </dxf>
    <dxf>
      <fill>
        <patternFill patternType="solid">
          <bgColor rgb="FFFFEB84"/>
        </patternFill>
      </fill>
    </dxf>
    <dxf>
      <fill>
        <patternFill patternType="solid">
          <bgColor rgb="FFF8696B"/>
        </patternFill>
      </fill>
    </dxf>
    <dxf>
      <fill>
        <patternFill patternType="solid">
          <bgColor rgb="FFFFEB84"/>
        </patternFill>
      </fill>
    </dxf>
    <dxf>
      <font>
        <color rgb="FF000000"/>
      </font>
      <fill>
        <patternFill patternType="solid">
          <bgColor rgb="FF70AD47"/>
        </patternFill>
      </fill>
    </dxf>
    <dxf>
      <font>
        <color rgb="FF000000"/>
      </font>
      <fill>
        <patternFill patternType="solid">
          <bgColor rgb="FF92D050"/>
        </patternFill>
      </fill>
    </dxf>
    <dxf>
      <fill>
        <patternFill patternType="solid">
          <bgColor rgb="FFF8696B"/>
        </patternFill>
      </fill>
    </dxf>
    <dxf>
      <fill>
        <patternFill patternType="solid">
          <bgColor rgb="FFFFEB84"/>
        </patternFill>
      </fill>
    </dxf>
    <dxf>
      <fill>
        <patternFill patternType="solid">
          <bgColor rgb="FFF8696B"/>
        </patternFill>
      </fill>
    </dxf>
    <dxf>
      <fill>
        <patternFill patternType="solid">
          <bgColor rgb="FFFFEB84"/>
        </patternFill>
      </fill>
    </dxf>
    <dxf>
      <font>
        <color rgb="FF9C0006"/>
      </font>
      <fill>
        <patternFill patternType="solid">
          <bgColor rgb="FFBFBFBF"/>
        </patternFill>
      </fill>
    </dxf>
    <dxf>
      <font>
        <color rgb="FF000000"/>
      </font>
      <fill>
        <patternFill patternType="solid">
          <bgColor rgb="FF70AD47"/>
        </patternFill>
      </fill>
    </dxf>
    <dxf>
      <font>
        <color rgb="FF000000"/>
      </font>
      <fill>
        <patternFill patternType="solid">
          <bgColor rgb="FF92D050"/>
        </patternFill>
      </fill>
    </dxf>
    <dxf>
      <fill>
        <patternFill patternType="solid">
          <bgColor rgb="FFF8696B"/>
        </patternFill>
      </fill>
    </dxf>
    <dxf>
      <fill>
        <patternFill patternType="solid">
          <bgColor rgb="FFFFEB84"/>
        </patternFill>
      </fill>
    </dxf>
    <dxf>
      <fill>
        <patternFill patternType="solid">
          <bgColor rgb="FFF8696B"/>
        </patternFill>
      </fill>
    </dxf>
    <dxf>
      <fill>
        <patternFill patternType="solid">
          <bgColor rgb="FFFFEB84"/>
        </patternFill>
      </fill>
    </dxf>
    <dxf>
      <font>
        <color rgb="FF9C0006"/>
      </font>
      <fill>
        <patternFill patternType="solid">
          <bgColor rgb="FFBFBFBF"/>
        </patternFill>
      </fill>
    </dxf>
    <dxf>
      <font>
        <color rgb="FF000000"/>
      </font>
      <fill>
        <patternFill patternType="solid">
          <bgColor rgb="FF70AD47"/>
        </patternFill>
      </fill>
    </dxf>
    <dxf>
      <font>
        <color rgb="FF000000"/>
      </font>
      <fill>
        <patternFill patternType="solid">
          <bgColor rgb="FF92D050"/>
        </patternFill>
      </fill>
    </dxf>
    <dxf>
      <fill>
        <patternFill patternType="solid">
          <bgColor rgb="FFF8696B"/>
        </patternFill>
      </fill>
    </dxf>
    <dxf>
      <fill>
        <patternFill patternType="solid">
          <bgColor rgb="FFFFEB84"/>
        </patternFill>
      </fill>
    </dxf>
    <dxf>
      <fill>
        <patternFill patternType="solid">
          <bgColor rgb="FFF8696B"/>
        </patternFill>
      </fill>
    </dxf>
    <dxf>
      <fill>
        <patternFill patternType="solid">
          <bgColor rgb="FFFFEB84"/>
        </patternFill>
      </fill>
    </dxf>
    <dxf>
      <font>
        <color rgb="FF000000"/>
      </font>
      <fill>
        <patternFill patternType="solid">
          <bgColor rgb="FF70AD47"/>
        </patternFill>
      </fill>
    </dxf>
    <dxf>
      <font>
        <color rgb="FF000000"/>
      </font>
      <fill>
        <patternFill patternType="solid">
          <bgColor rgb="FF92D050"/>
        </patternFill>
      </fill>
    </dxf>
    <dxf>
      <fill>
        <patternFill patternType="solid">
          <bgColor rgb="FFF8696B"/>
        </patternFill>
      </fill>
    </dxf>
    <dxf>
      <fill>
        <patternFill patternType="solid">
          <bgColor rgb="FFFFEB84"/>
        </patternFill>
      </fill>
    </dxf>
    <dxf>
      <fill>
        <patternFill patternType="solid">
          <bgColor rgb="FFF8696B"/>
        </patternFill>
      </fill>
    </dxf>
    <dxf>
      <fill>
        <patternFill patternType="solid">
          <bgColor rgb="FFFFEB84"/>
        </patternFill>
      </fill>
    </dxf>
    <dxf>
      <font>
        <color rgb="FF000000"/>
      </font>
      <fill>
        <patternFill patternType="solid">
          <bgColor rgb="FF70AD47"/>
        </patternFill>
      </fill>
    </dxf>
    <dxf>
      <font>
        <color rgb="FF000000"/>
      </font>
      <fill>
        <patternFill patternType="solid">
          <bgColor rgb="FF92D050"/>
        </patternFill>
      </fill>
    </dxf>
    <dxf>
      <fill>
        <patternFill patternType="solid">
          <bgColor rgb="FFF8696B"/>
        </patternFill>
      </fill>
    </dxf>
    <dxf>
      <fill>
        <patternFill patternType="solid">
          <bgColor rgb="FFFFEB84"/>
        </patternFill>
      </fill>
    </dxf>
    <dxf>
      <fill>
        <patternFill patternType="solid">
          <bgColor rgb="FFF8696B"/>
        </patternFill>
      </fill>
    </dxf>
    <dxf>
      <fill>
        <patternFill patternType="solid">
          <bgColor rgb="FFFFEB84"/>
        </patternFill>
      </fill>
    </dxf>
    <dxf>
      <font>
        <color rgb="FF000000"/>
      </font>
      <fill>
        <patternFill patternType="solid">
          <bgColor rgb="FF70AD47"/>
        </patternFill>
      </fill>
    </dxf>
    <dxf>
      <font>
        <color rgb="FF000000"/>
      </font>
      <fill>
        <patternFill patternType="solid">
          <bgColor rgb="FF92D050"/>
        </patternFill>
      </fill>
    </dxf>
    <dxf>
      <fill>
        <patternFill patternType="solid">
          <bgColor rgb="FFF8696B"/>
        </patternFill>
      </fill>
    </dxf>
    <dxf>
      <fill>
        <patternFill patternType="solid">
          <bgColor rgb="FFFFEB84"/>
        </patternFill>
      </fill>
    </dxf>
    <dxf>
      <fill>
        <patternFill patternType="solid">
          <bgColor rgb="FFF8696B"/>
        </patternFill>
      </fill>
    </dxf>
    <dxf>
      <fill>
        <patternFill patternType="solid">
          <bgColor rgb="FFFFEB84"/>
        </patternFill>
      </fill>
    </dxf>
    <dxf>
      <font>
        <color rgb="FF000000"/>
      </font>
      <fill>
        <patternFill patternType="solid">
          <bgColor rgb="FF70AD47"/>
        </patternFill>
      </fill>
    </dxf>
    <dxf>
      <font>
        <color rgb="FF000000"/>
      </font>
      <fill>
        <patternFill patternType="solid">
          <bgColor rgb="FF92D050"/>
        </patternFill>
      </fill>
    </dxf>
    <dxf>
      <fill>
        <patternFill patternType="solid">
          <bgColor rgb="FFF8696B"/>
        </patternFill>
      </fill>
    </dxf>
    <dxf>
      <fill>
        <patternFill patternType="solid">
          <bgColor rgb="FFFFEB84"/>
        </patternFill>
      </fill>
    </dxf>
    <dxf>
      <fill>
        <patternFill patternType="solid">
          <bgColor rgb="FFF8696B"/>
        </patternFill>
      </fill>
    </dxf>
    <dxf>
      <fill>
        <patternFill patternType="solid">
          <bgColor rgb="FFFFEB84"/>
        </patternFill>
      </fill>
    </dxf>
    <dxf>
      <font>
        <color rgb="FF000000"/>
      </font>
      <fill>
        <patternFill patternType="solid">
          <bgColor rgb="FF70AD47"/>
        </patternFill>
      </fill>
    </dxf>
    <dxf>
      <font>
        <color rgb="FF000000"/>
      </font>
      <fill>
        <patternFill patternType="solid">
          <bgColor rgb="FF92D050"/>
        </patternFill>
      </fill>
    </dxf>
    <dxf>
      <fill>
        <patternFill patternType="solid">
          <bgColor rgb="FFF8696B"/>
        </patternFill>
      </fill>
    </dxf>
    <dxf>
      <fill>
        <patternFill patternType="solid">
          <bgColor rgb="FFFFEB84"/>
        </patternFill>
      </fill>
    </dxf>
    <dxf>
      <fill>
        <patternFill patternType="solid">
          <bgColor rgb="FFF8696B"/>
        </patternFill>
      </fill>
    </dxf>
    <dxf>
      <fill>
        <patternFill patternType="solid">
          <bgColor rgb="FFFFEB84"/>
        </patternFill>
      </fill>
    </dxf>
    <dxf>
      <font>
        <color rgb="FF000000"/>
      </font>
      <fill>
        <patternFill patternType="solid">
          <bgColor rgb="FF70AD47"/>
        </patternFill>
      </fill>
    </dxf>
    <dxf>
      <font>
        <color rgb="FF000000"/>
      </font>
      <fill>
        <patternFill patternType="solid">
          <bgColor rgb="FF92D050"/>
        </patternFill>
      </fill>
    </dxf>
    <dxf>
      <fill>
        <patternFill patternType="solid">
          <bgColor rgb="FFF8696B"/>
        </patternFill>
      </fill>
    </dxf>
    <dxf>
      <fill>
        <patternFill patternType="solid">
          <bgColor rgb="FFFFEB84"/>
        </patternFill>
      </fill>
    </dxf>
    <dxf>
      <fill>
        <patternFill patternType="solid">
          <bgColor rgb="FFF8696B"/>
        </patternFill>
      </fill>
    </dxf>
    <dxf>
      <fill>
        <patternFill patternType="solid">
          <bgColor rgb="FFFFEB84"/>
        </patternFill>
      </fill>
    </dxf>
    <dxf>
      <font>
        <color rgb="FF9C0006"/>
      </font>
      <fill>
        <patternFill patternType="solid">
          <bgColor rgb="FFBFBFBF"/>
        </patternFill>
      </fill>
    </dxf>
    <dxf>
      <font>
        <color rgb="FF000000"/>
      </font>
      <fill>
        <patternFill patternType="solid">
          <bgColor rgb="FF70AD47"/>
        </patternFill>
      </fill>
    </dxf>
    <dxf>
      <font>
        <color rgb="FF000000"/>
      </font>
      <fill>
        <patternFill patternType="solid"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59BF9-F7FF-4EBC-A7A3-841F66053BE4}">
  <dimension ref="A3:A5"/>
  <sheetViews>
    <sheetView tabSelected="1" workbookViewId="0">
      <selection activeCell="A15" sqref="A15"/>
    </sheetView>
  </sheetViews>
  <sheetFormatPr defaultRowHeight="15"/>
  <cols>
    <col min="1" max="1" width="64" customWidth="1"/>
  </cols>
  <sheetData>
    <row r="3" spans="1:1">
      <c r="A3" t="s">
        <v>0</v>
      </c>
    </row>
    <row r="5" spans="1:1" ht="60">
      <c r="A5" s="32" t="s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158A3-BCAB-45A0-88C2-A8ADF53408AA}">
  <dimension ref="A1:AJ49"/>
  <sheetViews>
    <sheetView zoomScale="80" zoomScaleNormal="80" workbookViewId="0">
      <pane ySplit="1" topLeftCell="A2" activePane="bottomLeft" state="frozen"/>
      <selection pane="bottomLeft"/>
    </sheetView>
  </sheetViews>
  <sheetFormatPr defaultRowHeight="18.95" customHeight="1"/>
  <cols>
    <col min="1" max="1" width="33.42578125" bestFit="1" customWidth="1"/>
    <col min="2" max="2" width="50.85546875" bestFit="1" customWidth="1"/>
    <col min="3" max="3" width="93" customWidth="1"/>
    <col min="4" max="4" width="184.5703125" customWidth="1"/>
    <col min="5" max="5" width="11.140625" customWidth="1"/>
    <col min="6" max="6" width="10.7109375" customWidth="1"/>
    <col min="7" max="7" width="21.28515625" customWidth="1"/>
    <col min="8" max="8" width="40.7109375" customWidth="1"/>
    <col min="9" max="11" width="9.140625" customWidth="1"/>
    <col min="12" max="12" width="13.42578125" customWidth="1"/>
    <col min="13" max="13" width="14" customWidth="1"/>
    <col min="14" max="16" width="9.140625" customWidth="1"/>
    <col min="17" max="17" width="11.42578125" customWidth="1"/>
    <col min="18" max="18" width="107.28515625" customWidth="1"/>
    <col min="19" max="30" width="9.140625" customWidth="1"/>
    <col min="31" max="31" width="11.28515625" customWidth="1"/>
    <col min="32" max="34" width="9.140625" customWidth="1"/>
  </cols>
  <sheetData>
    <row r="1" spans="1:36" s="35" customFormat="1" ht="63">
      <c r="A1" s="38" t="s">
        <v>2</v>
      </c>
      <c r="B1" s="36" t="s">
        <v>3</v>
      </c>
      <c r="C1" s="36" t="s">
        <v>4</v>
      </c>
      <c r="D1" s="36" t="s">
        <v>5</v>
      </c>
      <c r="E1" s="36" t="s">
        <v>6</v>
      </c>
      <c r="F1" s="36" t="s">
        <v>7</v>
      </c>
      <c r="G1" s="36" t="s">
        <v>8</v>
      </c>
      <c r="H1" s="36" t="s">
        <v>9</v>
      </c>
      <c r="I1" s="36" t="s">
        <v>10</v>
      </c>
      <c r="J1" s="36" t="s">
        <v>11</v>
      </c>
      <c r="K1" s="36" t="s">
        <v>12</v>
      </c>
      <c r="L1" s="36" t="s">
        <v>13</v>
      </c>
      <c r="M1" s="36" t="s">
        <v>14</v>
      </c>
      <c r="N1" s="36" t="s">
        <v>15</v>
      </c>
      <c r="O1" s="36" t="s">
        <v>16</v>
      </c>
      <c r="P1" s="36" t="s">
        <v>17</v>
      </c>
      <c r="Q1" s="36" t="s">
        <v>18</v>
      </c>
      <c r="R1" s="36" t="s">
        <v>19</v>
      </c>
      <c r="S1" s="37" t="s">
        <v>20</v>
      </c>
      <c r="T1" s="36" t="s">
        <v>21</v>
      </c>
      <c r="U1" s="36" t="s">
        <v>22</v>
      </c>
      <c r="V1" s="36" t="s">
        <v>23</v>
      </c>
      <c r="W1" s="36" t="s">
        <v>24</v>
      </c>
      <c r="X1" s="36" t="s">
        <v>25</v>
      </c>
      <c r="Y1" s="36" t="s">
        <v>26</v>
      </c>
      <c r="Z1" s="36" t="s">
        <v>27</v>
      </c>
      <c r="AA1" s="36" t="s">
        <v>28</v>
      </c>
      <c r="AB1" s="36" t="s">
        <v>29</v>
      </c>
      <c r="AC1" s="36" t="s">
        <v>30</v>
      </c>
      <c r="AD1" s="36" t="s">
        <v>31</v>
      </c>
      <c r="AE1" s="36" t="s">
        <v>32</v>
      </c>
      <c r="AF1" s="36" t="s">
        <v>33</v>
      </c>
      <c r="AG1" s="36" t="s">
        <v>34</v>
      </c>
    </row>
    <row r="2" spans="1:36" ht="18.95" customHeight="1">
      <c r="A2" s="3" t="s">
        <v>35</v>
      </c>
      <c r="B2" s="8" t="s">
        <v>36</v>
      </c>
      <c r="C2" s="8" t="s">
        <v>37</v>
      </c>
      <c r="D2" s="3" t="s">
        <v>38</v>
      </c>
      <c r="E2" s="8">
        <v>1999</v>
      </c>
      <c r="F2" s="8">
        <v>2004</v>
      </c>
      <c r="G2" s="8" t="s">
        <v>39</v>
      </c>
      <c r="H2" s="8" t="s">
        <v>40</v>
      </c>
      <c r="I2" s="8">
        <v>1</v>
      </c>
      <c r="J2" s="8" t="s">
        <v>41</v>
      </c>
      <c r="K2" s="8">
        <v>1</v>
      </c>
      <c r="L2" s="8" t="s">
        <v>41</v>
      </c>
      <c r="M2" s="8">
        <v>1</v>
      </c>
      <c r="N2" s="8">
        <v>1</v>
      </c>
      <c r="O2" s="8" t="s">
        <v>41</v>
      </c>
      <c r="P2" s="8">
        <v>1</v>
      </c>
      <c r="Q2" s="8">
        <v>2</v>
      </c>
      <c r="R2" s="26" t="s">
        <v>42</v>
      </c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26" t="s">
        <v>43</v>
      </c>
      <c r="AF2" s="8"/>
      <c r="AG2" s="8"/>
      <c r="AJ2" s="25"/>
    </row>
    <row r="3" spans="1:36" ht="18.95" customHeight="1">
      <c r="A3" s="3" t="s">
        <v>44</v>
      </c>
      <c r="B3" s="8" t="s">
        <v>45</v>
      </c>
      <c r="C3" s="8" t="s">
        <v>46</v>
      </c>
      <c r="D3" t="s">
        <v>47</v>
      </c>
      <c r="E3" s="8">
        <v>2013</v>
      </c>
      <c r="F3" s="8">
        <v>2013</v>
      </c>
      <c r="G3" s="8" t="s">
        <v>48</v>
      </c>
      <c r="H3" s="8" t="s">
        <v>49</v>
      </c>
      <c r="I3" s="8">
        <v>1</v>
      </c>
      <c r="J3" s="8" t="s">
        <v>41</v>
      </c>
      <c r="K3" s="8">
        <v>1</v>
      </c>
      <c r="L3" s="8" t="s">
        <v>41</v>
      </c>
      <c r="M3" s="8">
        <v>1</v>
      </c>
      <c r="N3" s="8">
        <v>1</v>
      </c>
      <c r="O3" s="8" t="s">
        <v>41</v>
      </c>
      <c r="P3" s="8">
        <v>1</v>
      </c>
      <c r="Q3" s="8">
        <f t="shared" ref="Q3:Q10" si="0">IF(OR(K3=3, M3=3, N3=3, P3=3), 3, ROUND(((I3+K3+M3+N3+P3)/5),0))</f>
        <v>1</v>
      </c>
      <c r="R3" s="26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 t="s">
        <v>43</v>
      </c>
      <c r="AJ3" s="25"/>
    </row>
    <row r="4" spans="1:36" ht="18.95" customHeight="1">
      <c r="A4" t="s">
        <v>50</v>
      </c>
      <c r="B4" s="8" t="s">
        <v>51</v>
      </c>
      <c r="C4" t="s">
        <v>46</v>
      </c>
      <c r="D4" t="s">
        <v>52</v>
      </c>
      <c r="E4" s="8">
        <v>2011</v>
      </c>
      <c r="F4" s="8">
        <v>2011</v>
      </c>
      <c r="G4" s="8" t="s">
        <v>48</v>
      </c>
      <c r="H4" s="8" t="s">
        <v>49</v>
      </c>
      <c r="I4" s="8">
        <v>1</v>
      </c>
      <c r="J4" s="8" t="s">
        <v>41</v>
      </c>
      <c r="K4" s="8">
        <v>1</v>
      </c>
      <c r="L4" s="8" t="s">
        <v>41</v>
      </c>
      <c r="M4" s="8">
        <v>1</v>
      </c>
      <c r="N4" s="8">
        <v>1</v>
      </c>
      <c r="O4" s="8" t="s">
        <v>41</v>
      </c>
      <c r="P4" s="8">
        <v>1</v>
      </c>
      <c r="Q4" s="8">
        <f t="shared" si="0"/>
        <v>1</v>
      </c>
      <c r="R4" s="26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 t="s">
        <v>43</v>
      </c>
      <c r="AJ4" s="25"/>
    </row>
    <row r="5" spans="1:36" ht="18.95" customHeight="1">
      <c r="A5" s="24" t="s">
        <v>53</v>
      </c>
      <c r="B5" s="8" t="s">
        <v>51</v>
      </c>
      <c r="C5" s="8" t="s">
        <v>46</v>
      </c>
      <c r="D5" t="s">
        <v>54</v>
      </c>
      <c r="E5" s="8">
        <v>2010</v>
      </c>
      <c r="F5" s="8">
        <v>2010</v>
      </c>
      <c r="G5" s="8" t="s">
        <v>48</v>
      </c>
      <c r="H5" s="8" t="s">
        <v>49</v>
      </c>
      <c r="I5" s="8">
        <v>1</v>
      </c>
      <c r="J5" s="8" t="s">
        <v>41</v>
      </c>
      <c r="K5" s="8">
        <v>1</v>
      </c>
      <c r="L5" s="8" t="s">
        <v>41</v>
      </c>
      <c r="M5" s="8">
        <v>1</v>
      </c>
      <c r="N5" s="8">
        <v>1</v>
      </c>
      <c r="O5" s="8" t="s">
        <v>41</v>
      </c>
      <c r="P5" s="8">
        <v>1</v>
      </c>
      <c r="Q5" s="8">
        <f t="shared" si="0"/>
        <v>1</v>
      </c>
      <c r="R5" s="26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 t="s">
        <v>43</v>
      </c>
      <c r="AJ5" s="25"/>
    </row>
    <row r="6" spans="1:36" ht="18.95" customHeight="1">
      <c r="A6" s="24" t="s">
        <v>55</v>
      </c>
      <c r="B6" t="s">
        <v>56</v>
      </c>
      <c r="C6" s="8" t="s">
        <v>57</v>
      </c>
      <c r="D6" t="s">
        <v>58</v>
      </c>
      <c r="E6" s="8">
        <v>2006</v>
      </c>
      <c r="F6" s="8">
        <v>2008</v>
      </c>
      <c r="G6" s="8" t="s">
        <v>48</v>
      </c>
      <c r="H6" s="8" t="s">
        <v>49</v>
      </c>
      <c r="I6" s="8">
        <v>1</v>
      </c>
      <c r="J6" s="8" t="s">
        <v>41</v>
      </c>
      <c r="K6" s="8">
        <v>1</v>
      </c>
      <c r="L6" s="8" t="s">
        <v>41</v>
      </c>
      <c r="M6" s="8">
        <v>1</v>
      </c>
      <c r="N6" s="8">
        <v>1</v>
      </c>
      <c r="O6" s="8" t="s">
        <v>41</v>
      </c>
      <c r="P6" s="8">
        <v>1</v>
      </c>
      <c r="Q6" s="8">
        <f t="shared" si="0"/>
        <v>1</v>
      </c>
      <c r="R6" s="26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 t="s">
        <v>43</v>
      </c>
      <c r="AJ6" s="25"/>
    </row>
    <row r="7" spans="1:36" ht="18.95" customHeight="1">
      <c r="A7" s="3" t="s">
        <v>59</v>
      </c>
      <c r="B7" s="8" t="s">
        <v>45</v>
      </c>
      <c r="C7" s="8" t="s">
        <v>46</v>
      </c>
      <c r="D7" s="8" t="s">
        <v>60</v>
      </c>
      <c r="E7" s="8">
        <v>2013</v>
      </c>
      <c r="F7" s="8">
        <v>2013</v>
      </c>
      <c r="G7" s="8" t="s">
        <v>48</v>
      </c>
      <c r="H7" s="8" t="s">
        <v>49</v>
      </c>
      <c r="I7" s="8">
        <v>1</v>
      </c>
      <c r="J7" s="8" t="s">
        <v>41</v>
      </c>
      <c r="K7" s="8">
        <v>1</v>
      </c>
      <c r="L7" s="8" t="s">
        <v>41</v>
      </c>
      <c r="M7" s="8">
        <v>1</v>
      </c>
      <c r="N7" s="8">
        <v>1</v>
      </c>
      <c r="O7" s="8" t="s">
        <v>41</v>
      </c>
      <c r="P7" s="8">
        <v>1</v>
      </c>
      <c r="Q7" s="8">
        <f t="shared" si="0"/>
        <v>1</v>
      </c>
      <c r="R7" s="26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 t="s">
        <v>43</v>
      </c>
      <c r="AG7" s="8"/>
      <c r="AJ7" s="25"/>
    </row>
    <row r="8" spans="1:36" ht="18.95" customHeight="1">
      <c r="A8" s="24" t="s">
        <v>61</v>
      </c>
      <c r="B8" s="33" t="s">
        <v>62</v>
      </c>
      <c r="C8" s="33" t="s">
        <v>63</v>
      </c>
      <c r="D8" s="3" t="s">
        <v>64</v>
      </c>
      <c r="E8" s="33">
        <v>2012</v>
      </c>
      <c r="F8" s="33">
        <v>2012</v>
      </c>
      <c r="G8" s="33" t="s">
        <v>48</v>
      </c>
      <c r="H8" s="33" t="s">
        <v>49</v>
      </c>
      <c r="I8" s="8">
        <v>1</v>
      </c>
      <c r="J8" s="8" t="s">
        <v>41</v>
      </c>
      <c r="K8" s="8">
        <v>1</v>
      </c>
      <c r="L8" s="8" t="s">
        <v>41</v>
      </c>
      <c r="M8" s="8">
        <v>1</v>
      </c>
      <c r="N8" s="8">
        <v>1</v>
      </c>
      <c r="O8" s="8" t="s">
        <v>41</v>
      </c>
      <c r="P8" s="8">
        <v>1</v>
      </c>
      <c r="Q8" s="8">
        <f t="shared" si="0"/>
        <v>1</v>
      </c>
      <c r="R8" s="34" t="s">
        <v>65</v>
      </c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 t="s">
        <v>43</v>
      </c>
      <c r="AG8" s="33"/>
      <c r="AJ8" s="25"/>
    </row>
    <row r="9" spans="1:36" ht="18.95" customHeight="1">
      <c r="A9" s="24" t="s">
        <v>66</v>
      </c>
      <c r="B9" t="s">
        <v>67</v>
      </c>
      <c r="C9" t="s">
        <v>57</v>
      </c>
      <c r="D9" t="s">
        <v>68</v>
      </c>
      <c r="E9" s="8">
        <v>2014</v>
      </c>
      <c r="F9" s="8">
        <v>2014</v>
      </c>
      <c r="G9" s="8" t="s">
        <v>48</v>
      </c>
      <c r="H9" s="8" t="s">
        <v>49</v>
      </c>
      <c r="I9" s="8">
        <v>1</v>
      </c>
      <c r="J9" s="8" t="s">
        <v>41</v>
      </c>
      <c r="K9" s="8">
        <v>1</v>
      </c>
      <c r="L9" s="8" t="s">
        <v>41</v>
      </c>
      <c r="M9" s="8">
        <v>1</v>
      </c>
      <c r="N9" s="8">
        <v>1</v>
      </c>
      <c r="O9" s="8" t="s">
        <v>41</v>
      </c>
      <c r="P9" s="8">
        <v>1</v>
      </c>
      <c r="Q9" s="8">
        <f t="shared" si="0"/>
        <v>1</v>
      </c>
      <c r="R9" s="26"/>
      <c r="S9" s="8" t="s">
        <v>43</v>
      </c>
      <c r="T9" s="8"/>
      <c r="U9" s="8"/>
      <c r="V9" s="8"/>
      <c r="W9" s="8"/>
      <c r="X9" s="8"/>
      <c r="Y9" s="8" t="s">
        <v>43</v>
      </c>
      <c r="Z9" s="8"/>
      <c r="AA9" s="8"/>
      <c r="AB9" s="8"/>
      <c r="AC9" s="8"/>
      <c r="AD9" s="8" t="s">
        <v>43</v>
      </c>
      <c r="AE9" s="8"/>
      <c r="AF9" s="8"/>
      <c r="AG9" s="8" t="s">
        <v>43</v>
      </c>
      <c r="AJ9" s="25"/>
    </row>
    <row r="10" spans="1:36" ht="18.95" customHeight="1">
      <c r="A10" s="24" t="s">
        <v>69</v>
      </c>
      <c r="B10" t="s">
        <v>45</v>
      </c>
      <c r="C10" t="s">
        <v>57</v>
      </c>
      <c r="D10" s="8" t="s">
        <v>70</v>
      </c>
      <c r="E10" s="8">
        <v>2006</v>
      </c>
      <c r="F10" s="8">
        <v>2012</v>
      </c>
      <c r="G10" s="8" t="s">
        <v>48</v>
      </c>
      <c r="H10" s="8" t="s">
        <v>49</v>
      </c>
      <c r="I10" s="8">
        <v>1</v>
      </c>
      <c r="J10" s="8" t="s">
        <v>41</v>
      </c>
      <c r="K10" s="8">
        <v>1</v>
      </c>
      <c r="L10" s="8" t="s">
        <v>41</v>
      </c>
      <c r="M10" s="8">
        <v>1</v>
      </c>
      <c r="N10" s="8">
        <v>1</v>
      </c>
      <c r="O10" s="8" t="s">
        <v>41</v>
      </c>
      <c r="P10" s="8">
        <v>1</v>
      </c>
      <c r="Q10" s="8">
        <f t="shared" si="0"/>
        <v>1</v>
      </c>
      <c r="R10" s="26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 t="s">
        <v>43</v>
      </c>
      <c r="AE10" s="8"/>
      <c r="AF10" s="8"/>
      <c r="AG10" s="8"/>
      <c r="AJ10" s="25"/>
    </row>
    <row r="11" spans="1:36" ht="18.95" customHeight="1">
      <c r="A11" s="24" t="s">
        <v>71</v>
      </c>
      <c r="B11" s="8" t="s">
        <v>72</v>
      </c>
      <c r="C11" s="8" t="s">
        <v>73</v>
      </c>
      <c r="D11" t="s">
        <v>74</v>
      </c>
      <c r="E11" s="8">
        <v>2012</v>
      </c>
      <c r="F11" s="8">
        <v>2012</v>
      </c>
      <c r="G11" s="8" t="s">
        <v>48</v>
      </c>
      <c r="H11" s="8" t="s">
        <v>75</v>
      </c>
      <c r="I11" s="8">
        <v>2</v>
      </c>
      <c r="J11" s="8" t="s">
        <v>41</v>
      </c>
      <c r="K11" s="8">
        <v>1</v>
      </c>
      <c r="L11" s="8" t="s">
        <v>41</v>
      </c>
      <c r="M11" s="8">
        <v>2</v>
      </c>
      <c r="N11" s="8">
        <v>2</v>
      </c>
      <c r="O11" s="8" t="s">
        <v>41</v>
      </c>
      <c r="P11" s="8">
        <v>1</v>
      </c>
      <c r="Q11" s="8">
        <v>2</v>
      </c>
      <c r="R11" s="26"/>
      <c r="S11" s="8" t="s">
        <v>43</v>
      </c>
      <c r="T11" s="8"/>
      <c r="U11" s="8"/>
      <c r="V11" s="8"/>
      <c r="W11" s="8" t="s">
        <v>43</v>
      </c>
      <c r="X11" s="8" t="s">
        <v>43</v>
      </c>
      <c r="Y11" s="8"/>
      <c r="Z11" s="8"/>
      <c r="AA11" s="8"/>
      <c r="AB11" s="8"/>
      <c r="AC11" s="8"/>
      <c r="AD11" s="8"/>
      <c r="AE11" s="8"/>
      <c r="AF11" s="8"/>
      <c r="AG11" s="8"/>
      <c r="AJ11" s="25"/>
    </row>
    <row r="12" spans="1:36" ht="18.95" customHeight="1">
      <c r="A12" s="24" t="s">
        <v>76</v>
      </c>
      <c r="B12" t="s">
        <v>77</v>
      </c>
      <c r="C12" t="s">
        <v>78</v>
      </c>
      <c r="D12" t="s">
        <v>79</v>
      </c>
      <c r="E12">
        <v>2012</v>
      </c>
      <c r="F12">
        <v>2013</v>
      </c>
      <c r="G12" s="8" t="s">
        <v>48</v>
      </c>
      <c r="H12" s="8" t="s">
        <v>49</v>
      </c>
      <c r="I12" s="8">
        <v>1</v>
      </c>
      <c r="J12" s="8" t="s">
        <v>41</v>
      </c>
      <c r="K12" s="8">
        <v>1</v>
      </c>
      <c r="L12" s="8" t="s">
        <v>41</v>
      </c>
      <c r="M12" s="8">
        <v>1</v>
      </c>
      <c r="N12" s="8">
        <v>1</v>
      </c>
      <c r="O12" s="8" t="s">
        <v>41</v>
      </c>
      <c r="P12" s="8">
        <v>1</v>
      </c>
      <c r="Q12" s="8">
        <f>IF(OR(K12=3, M12=3, N12=3, P12=3), 3, ROUND(((I12+K12+M12+N12+P12)/5),0))</f>
        <v>1</v>
      </c>
      <c r="R12" s="32"/>
      <c r="S12" s="8" t="s">
        <v>43</v>
      </c>
      <c r="T12" s="8"/>
      <c r="U12" s="8"/>
      <c r="V12" s="8" t="s">
        <v>43</v>
      </c>
      <c r="W12" s="8" t="s">
        <v>43</v>
      </c>
      <c r="X12" s="8" t="s">
        <v>43</v>
      </c>
      <c r="Y12" s="8"/>
      <c r="Z12" s="8"/>
      <c r="AA12" s="8"/>
      <c r="AB12" s="8"/>
      <c r="AC12" s="8"/>
      <c r="AD12" s="8"/>
      <c r="AE12" s="8"/>
      <c r="AF12" s="8"/>
      <c r="AG12" s="8"/>
      <c r="AJ12" s="25"/>
    </row>
    <row r="13" spans="1:36" ht="18.95" customHeight="1">
      <c r="A13" s="24" t="s">
        <v>80</v>
      </c>
      <c r="B13" s="8" t="s">
        <v>67</v>
      </c>
      <c r="C13" s="8" t="s">
        <v>81</v>
      </c>
      <c r="D13" s="8" t="s">
        <v>82</v>
      </c>
      <c r="E13" s="8">
        <v>1995</v>
      </c>
      <c r="F13" s="8">
        <v>2007</v>
      </c>
      <c r="G13" s="8" t="s">
        <v>48</v>
      </c>
      <c r="H13" s="8" t="s">
        <v>49</v>
      </c>
      <c r="I13" s="8">
        <v>1</v>
      </c>
      <c r="J13" s="8" t="s">
        <v>41</v>
      </c>
      <c r="K13" s="8">
        <v>1</v>
      </c>
      <c r="L13" s="8" t="s">
        <v>41</v>
      </c>
      <c r="M13" s="8">
        <v>1</v>
      </c>
      <c r="N13" s="8">
        <v>1</v>
      </c>
      <c r="O13" s="8" t="s">
        <v>41</v>
      </c>
      <c r="P13" s="8">
        <v>2</v>
      </c>
      <c r="Q13" s="8">
        <v>2</v>
      </c>
      <c r="R13" s="26" t="s">
        <v>83</v>
      </c>
      <c r="S13" s="8" t="s">
        <v>43</v>
      </c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J13" s="25"/>
    </row>
    <row r="14" spans="1:36" ht="18.95" customHeight="1">
      <c r="A14" s="24" t="s">
        <v>84</v>
      </c>
      <c r="B14" s="8" t="s">
        <v>67</v>
      </c>
      <c r="C14" s="8" t="s">
        <v>85</v>
      </c>
      <c r="D14" t="s">
        <v>86</v>
      </c>
      <c r="E14" s="8">
        <v>1999</v>
      </c>
      <c r="F14" s="8">
        <v>2000</v>
      </c>
      <c r="G14" s="8" t="s">
        <v>48</v>
      </c>
      <c r="H14" s="8" t="s">
        <v>49</v>
      </c>
      <c r="I14" s="8">
        <v>1</v>
      </c>
      <c r="J14" s="8" t="s">
        <v>41</v>
      </c>
      <c r="K14" s="8">
        <v>1</v>
      </c>
      <c r="L14" s="8"/>
      <c r="M14" s="8">
        <v>2</v>
      </c>
      <c r="N14" s="8">
        <v>2</v>
      </c>
      <c r="O14" s="8" t="s">
        <v>41</v>
      </c>
      <c r="P14" s="8">
        <v>1</v>
      </c>
      <c r="Q14" s="8">
        <v>2</v>
      </c>
      <c r="R14" s="26" t="s">
        <v>87</v>
      </c>
      <c r="S14" s="8" t="s">
        <v>43</v>
      </c>
      <c r="T14" s="8"/>
      <c r="U14" s="8"/>
      <c r="V14" s="8" t="s">
        <v>43</v>
      </c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J14" s="25"/>
    </row>
    <row r="15" spans="1:36" ht="18.95" customHeight="1">
      <c r="A15" s="24" t="s">
        <v>88</v>
      </c>
      <c r="B15" s="8" t="s">
        <v>89</v>
      </c>
      <c r="C15" s="8" t="s">
        <v>81</v>
      </c>
      <c r="D15" t="s">
        <v>90</v>
      </c>
      <c r="E15" s="8">
        <v>1995</v>
      </c>
      <c r="F15" s="8">
        <v>2013</v>
      </c>
      <c r="G15" s="8" t="s">
        <v>48</v>
      </c>
      <c r="H15" s="8" t="s">
        <v>49</v>
      </c>
      <c r="I15" s="8">
        <v>1</v>
      </c>
      <c r="J15" s="8" t="s">
        <v>41</v>
      </c>
      <c r="K15" s="8">
        <v>1</v>
      </c>
      <c r="L15" s="8" t="s">
        <v>41</v>
      </c>
      <c r="M15" s="8">
        <v>1</v>
      </c>
      <c r="N15" s="8">
        <v>1</v>
      </c>
      <c r="O15" s="8" t="s">
        <v>91</v>
      </c>
      <c r="P15" s="8">
        <v>2</v>
      </c>
      <c r="Q15" s="8">
        <v>2</v>
      </c>
      <c r="R15" s="26" t="s">
        <v>92</v>
      </c>
      <c r="S15" s="8"/>
      <c r="T15" s="8"/>
      <c r="U15" s="8"/>
      <c r="V15" s="8" t="s">
        <v>43</v>
      </c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J15" s="25"/>
    </row>
    <row r="16" spans="1:36" ht="18.95" customHeight="1">
      <c r="A16" s="24" t="s">
        <v>93</v>
      </c>
      <c r="B16" s="8" t="s">
        <v>94</v>
      </c>
      <c r="C16" s="8" t="s">
        <v>95</v>
      </c>
      <c r="D16" t="s">
        <v>96</v>
      </c>
      <c r="E16" s="8">
        <v>2008</v>
      </c>
      <c r="F16" s="8">
        <v>2011</v>
      </c>
      <c r="G16" s="8" t="s">
        <v>97</v>
      </c>
      <c r="H16" s="8" t="s">
        <v>49</v>
      </c>
      <c r="I16" s="8">
        <v>1</v>
      </c>
      <c r="J16" s="8" t="s">
        <v>41</v>
      </c>
      <c r="K16" s="8">
        <v>1</v>
      </c>
      <c r="L16" s="8" t="s">
        <v>91</v>
      </c>
      <c r="M16" s="8">
        <v>2</v>
      </c>
      <c r="N16" s="8">
        <v>1</v>
      </c>
      <c r="O16" s="8" t="s">
        <v>41</v>
      </c>
      <c r="P16" s="8">
        <v>2</v>
      </c>
      <c r="Q16" s="8">
        <v>2</v>
      </c>
      <c r="R16" s="26" t="s">
        <v>98</v>
      </c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 t="s">
        <v>43</v>
      </c>
      <c r="AE16" s="8"/>
      <c r="AF16" s="8"/>
      <c r="AG16" s="8"/>
      <c r="AJ16" s="25"/>
    </row>
    <row r="17" spans="1:36" ht="18.95" customHeight="1">
      <c r="A17" s="24" t="s">
        <v>99</v>
      </c>
      <c r="B17" s="8" t="s">
        <v>100</v>
      </c>
      <c r="C17" s="8" t="s">
        <v>101</v>
      </c>
      <c r="D17" t="s">
        <v>102</v>
      </c>
      <c r="E17" s="8">
        <v>2015</v>
      </c>
      <c r="F17" s="8">
        <v>2015</v>
      </c>
      <c r="G17" s="8" t="s">
        <v>39</v>
      </c>
      <c r="H17" s="8" t="s">
        <v>40</v>
      </c>
      <c r="I17" s="8">
        <v>1</v>
      </c>
      <c r="J17" s="8" t="s">
        <v>41</v>
      </c>
      <c r="K17" s="31">
        <v>1</v>
      </c>
      <c r="L17" s="8" t="s">
        <v>41</v>
      </c>
      <c r="M17" s="8">
        <v>1</v>
      </c>
      <c r="N17" s="8">
        <v>1</v>
      </c>
      <c r="O17" s="8" t="s">
        <v>41</v>
      </c>
      <c r="P17" s="8">
        <v>1</v>
      </c>
      <c r="Q17" s="8">
        <f>IF(OR(K17=3, M17=3, N17=3, P17=3), 3, ROUND(((I17+K17+M17+N17+P17)/5),0))</f>
        <v>1</v>
      </c>
      <c r="R17" s="26" t="s">
        <v>103</v>
      </c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 t="s">
        <v>43</v>
      </c>
      <c r="AG17" s="8" t="s">
        <v>43</v>
      </c>
      <c r="AJ17" s="25"/>
    </row>
    <row r="18" spans="1:36" ht="18.95" customHeight="1">
      <c r="A18" s="24" t="s">
        <v>104</v>
      </c>
      <c r="B18" s="8" t="s">
        <v>105</v>
      </c>
      <c r="C18" s="8" t="s">
        <v>106</v>
      </c>
      <c r="D18" t="s">
        <v>107</v>
      </c>
      <c r="E18" s="8">
        <v>2007</v>
      </c>
      <c r="F18" s="8">
        <v>2007</v>
      </c>
      <c r="G18" s="8" t="s">
        <v>48</v>
      </c>
      <c r="H18" s="8" t="s">
        <v>49</v>
      </c>
      <c r="I18" s="8">
        <v>1</v>
      </c>
      <c r="J18" s="8" t="s">
        <v>41</v>
      </c>
      <c r="K18" s="8">
        <v>1</v>
      </c>
      <c r="L18" s="8" t="s">
        <v>41</v>
      </c>
      <c r="M18" s="8">
        <v>1</v>
      </c>
      <c r="N18" s="8">
        <v>2</v>
      </c>
      <c r="O18" s="8" t="s">
        <v>41</v>
      </c>
      <c r="P18" s="8">
        <v>1</v>
      </c>
      <c r="Q18" s="8">
        <v>2</v>
      </c>
      <c r="R18" s="30" t="s">
        <v>108</v>
      </c>
      <c r="S18" s="8" t="s">
        <v>43</v>
      </c>
      <c r="T18" s="8"/>
      <c r="U18" s="8"/>
      <c r="V18" s="8"/>
      <c r="W18" s="8" t="s">
        <v>43</v>
      </c>
      <c r="X18" s="8" t="s">
        <v>43</v>
      </c>
      <c r="Y18" s="8"/>
      <c r="Z18" s="8"/>
      <c r="AA18" s="8"/>
      <c r="AB18" s="8"/>
      <c r="AC18" s="8"/>
      <c r="AD18" s="8"/>
      <c r="AE18" s="8"/>
      <c r="AF18" s="8"/>
      <c r="AG18" s="8"/>
      <c r="AJ18" s="25"/>
    </row>
    <row r="19" spans="1:36" s="29" customFormat="1" ht="18.95" customHeight="1">
      <c r="A19" s="24" t="s">
        <v>109</v>
      </c>
      <c r="B19" s="8" t="s">
        <v>110</v>
      </c>
      <c r="C19" s="8" t="s">
        <v>111</v>
      </c>
      <c r="D19" t="s">
        <v>112</v>
      </c>
      <c r="E19" s="8">
        <v>2012</v>
      </c>
      <c r="F19" s="8">
        <v>2012</v>
      </c>
      <c r="G19" s="8" t="s">
        <v>48</v>
      </c>
      <c r="H19" s="8" t="s">
        <v>49</v>
      </c>
      <c r="I19" s="8">
        <v>1</v>
      </c>
      <c r="J19" s="8" t="s">
        <v>41</v>
      </c>
      <c r="K19" s="8">
        <v>1</v>
      </c>
      <c r="L19" s="8" t="s">
        <v>41</v>
      </c>
      <c r="M19" s="8">
        <v>1</v>
      </c>
      <c r="N19" s="8">
        <v>1</v>
      </c>
      <c r="O19" s="8" t="s">
        <v>41</v>
      </c>
      <c r="P19" s="8">
        <v>1</v>
      </c>
      <c r="Q19" s="8">
        <f>IF(OR(K19=3, M19=3, N19=3, P19=3), 3, ROUND(((I19+K19+M19+N19+P19)/5),0))</f>
        <v>1</v>
      </c>
      <c r="R19" s="26"/>
      <c r="S19" s="8"/>
      <c r="T19" s="8"/>
      <c r="U19" s="8"/>
      <c r="V19" s="8"/>
      <c r="W19" s="8"/>
      <c r="X19" s="8"/>
      <c r="Y19" s="8" t="s">
        <v>43</v>
      </c>
      <c r="Z19" s="8"/>
      <c r="AA19" s="8"/>
      <c r="AB19" s="8"/>
      <c r="AC19" s="8"/>
      <c r="AD19" s="8"/>
      <c r="AE19" s="8"/>
      <c r="AF19" s="8"/>
      <c r="AG19" s="8"/>
      <c r="AH19"/>
      <c r="AI19"/>
      <c r="AJ19" s="25"/>
    </row>
    <row r="20" spans="1:36" ht="18.95" customHeight="1">
      <c r="A20" s="24" t="s">
        <v>113</v>
      </c>
      <c r="B20" s="8" t="s">
        <v>114</v>
      </c>
      <c r="C20" s="8" t="s">
        <v>115</v>
      </c>
      <c r="D20" t="s">
        <v>116</v>
      </c>
      <c r="E20" s="8">
        <v>2012</v>
      </c>
      <c r="F20" s="8">
        <v>2017</v>
      </c>
      <c r="G20" s="8" t="s">
        <v>48</v>
      </c>
      <c r="H20" s="8" t="s">
        <v>49</v>
      </c>
      <c r="I20" s="8">
        <v>1</v>
      </c>
      <c r="J20" s="8" t="s">
        <v>41</v>
      </c>
      <c r="K20" s="8">
        <v>1</v>
      </c>
      <c r="L20" s="8" t="s">
        <v>41</v>
      </c>
      <c r="M20" s="8">
        <v>1</v>
      </c>
      <c r="N20" s="8">
        <v>1</v>
      </c>
      <c r="O20" s="8" t="s">
        <v>41</v>
      </c>
      <c r="P20" s="8">
        <v>1</v>
      </c>
      <c r="Q20" s="8">
        <f>IF(OR(K20=3, M20=3, N20=3, P20=3), 3, ROUND(((I20+K20+M20+N20+P20)/5),0))</f>
        <v>1</v>
      </c>
      <c r="R20" s="8" t="s">
        <v>117</v>
      </c>
      <c r="S20" s="8"/>
      <c r="T20" s="8"/>
      <c r="U20" s="8"/>
      <c r="V20" s="8"/>
      <c r="W20" s="8"/>
      <c r="X20" s="8"/>
      <c r="Y20" s="8" t="s">
        <v>43</v>
      </c>
      <c r="Z20" s="8"/>
      <c r="AA20" s="8"/>
      <c r="AB20" s="8"/>
      <c r="AC20" s="8"/>
      <c r="AD20" s="8"/>
      <c r="AE20" s="8"/>
      <c r="AF20" s="8"/>
      <c r="AG20" s="8"/>
      <c r="AJ20" s="25"/>
    </row>
    <row r="21" spans="1:36" ht="18.95" customHeight="1">
      <c r="A21" s="24" t="s">
        <v>118</v>
      </c>
      <c r="B21" t="s">
        <v>119</v>
      </c>
      <c r="C21" s="8" t="s">
        <v>120</v>
      </c>
      <c r="D21" t="s">
        <v>121</v>
      </c>
      <c r="E21" s="8">
        <v>2019</v>
      </c>
      <c r="F21" s="8">
        <v>2019</v>
      </c>
      <c r="G21" s="8" t="s">
        <v>48</v>
      </c>
      <c r="H21" s="8" t="s">
        <v>49</v>
      </c>
      <c r="I21" s="8">
        <v>1</v>
      </c>
      <c r="J21" s="8" t="s">
        <v>41</v>
      </c>
      <c r="K21" s="8">
        <v>1</v>
      </c>
      <c r="L21" s="8" t="s">
        <v>41</v>
      </c>
      <c r="M21" s="8">
        <v>1</v>
      </c>
      <c r="N21" s="8">
        <v>1</v>
      </c>
      <c r="O21" s="8" t="s">
        <v>41</v>
      </c>
      <c r="P21" s="8">
        <v>1</v>
      </c>
      <c r="Q21" s="8">
        <f>IF(OR(K21=3, M21=3, N21=3, P21=3), 3, ROUND(((I21+K21+M21+N21+P21)/5),0))</f>
        <v>1</v>
      </c>
      <c r="R21" s="26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 t="s">
        <v>43</v>
      </c>
      <c r="AG21" s="8"/>
      <c r="AJ21" s="25"/>
    </row>
    <row r="22" spans="1:36" ht="18.95" customHeight="1">
      <c r="A22" s="24" t="s">
        <v>122</v>
      </c>
      <c r="B22" t="s">
        <v>123</v>
      </c>
      <c r="C22" t="s">
        <v>106</v>
      </c>
      <c r="D22" t="s">
        <v>124</v>
      </c>
      <c r="E22" s="8">
        <v>2010</v>
      </c>
      <c r="F22" s="8">
        <v>2012</v>
      </c>
      <c r="G22" s="8" t="s">
        <v>97</v>
      </c>
      <c r="H22" s="8" t="s">
        <v>49</v>
      </c>
      <c r="I22" s="8">
        <v>1</v>
      </c>
      <c r="J22" s="8" t="s">
        <v>41</v>
      </c>
      <c r="K22" s="8">
        <v>1</v>
      </c>
      <c r="L22" s="8" t="s">
        <v>91</v>
      </c>
      <c r="M22" s="8">
        <v>2</v>
      </c>
      <c r="N22" s="8">
        <v>1</v>
      </c>
      <c r="O22" s="8" t="s">
        <v>41</v>
      </c>
      <c r="P22" s="8">
        <v>1</v>
      </c>
      <c r="Q22" s="8">
        <v>2</v>
      </c>
      <c r="R22" s="26" t="s">
        <v>125</v>
      </c>
      <c r="S22" s="8"/>
      <c r="T22" s="8"/>
      <c r="U22" s="8"/>
      <c r="V22" s="8"/>
      <c r="W22" s="8"/>
      <c r="X22" s="8"/>
      <c r="Y22" s="8"/>
      <c r="Z22" s="8" t="s">
        <v>43</v>
      </c>
      <c r="AA22" s="8"/>
      <c r="AB22" s="8"/>
      <c r="AC22" s="8"/>
      <c r="AD22" s="8"/>
      <c r="AE22" s="8"/>
      <c r="AF22" s="8" t="s">
        <v>43</v>
      </c>
      <c r="AG22" s="8"/>
      <c r="AJ22" s="25"/>
    </row>
    <row r="23" spans="1:36" ht="18.95" customHeight="1">
      <c r="A23" s="24" t="s">
        <v>126</v>
      </c>
      <c r="B23" s="8" t="s">
        <v>127</v>
      </c>
      <c r="C23" s="8" t="s">
        <v>115</v>
      </c>
      <c r="D23" t="s">
        <v>128</v>
      </c>
      <c r="E23" s="8">
        <v>2007</v>
      </c>
      <c r="F23" s="8">
        <v>2011</v>
      </c>
      <c r="G23" s="8" t="s">
        <v>48</v>
      </c>
      <c r="H23" s="8" t="s">
        <v>49</v>
      </c>
      <c r="I23" s="8">
        <v>1</v>
      </c>
      <c r="J23" s="8" t="s">
        <v>41</v>
      </c>
      <c r="K23" s="8">
        <v>1</v>
      </c>
      <c r="L23" s="8" t="s">
        <v>41</v>
      </c>
      <c r="M23" s="8">
        <v>1</v>
      </c>
      <c r="N23" s="8">
        <v>1</v>
      </c>
      <c r="O23" s="8" t="s">
        <v>41</v>
      </c>
      <c r="P23" s="8">
        <v>1</v>
      </c>
      <c r="Q23" s="8">
        <f>IF(OR(K23=3, M23=3, N23=3, P23=3), 3, ROUND(((I23+K23+M23+N23+P23)/5),0))</f>
        <v>1</v>
      </c>
      <c r="R23" s="26"/>
      <c r="S23" s="8"/>
      <c r="T23" s="8"/>
      <c r="U23" s="8"/>
      <c r="V23" s="8"/>
      <c r="W23" s="8"/>
      <c r="X23" s="8"/>
      <c r="Y23" s="8" t="s">
        <v>43</v>
      </c>
      <c r="Z23" s="8" t="s">
        <v>43</v>
      </c>
      <c r="AA23" s="8"/>
      <c r="AB23" s="8"/>
      <c r="AC23" s="8"/>
      <c r="AD23" s="8"/>
      <c r="AE23" s="8"/>
      <c r="AF23" s="8" t="s">
        <v>43</v>
      </c>
      <c r="AG23" s="8"/>
      <c r="AJ23" s="25"/>
    </row>
    <row r="24" spans="1:36" ht="18.95" customHeight="1">
      <c r="A24" s="24" t="s">
        <v>129</v>
      </c>
      <c r="B24" s="8" t="s">
        <v>130</v>
      </c>
      <c r="C24" t="s">
        <v>131</v>
      </c>
      <c r="D24" s="28" t="s">
        <v>132</v>
      </c>
      <c r="E24" s="8">
        <v>2006</v>
      </c>
      <c r="F24" s="8">
        <v>2008</v>
      </c>
      <c r="G24" s="8" t="s">
        <v>39</v>
      </c>
      <c r="H24" s="8" t="s">
        <v>40</v>
      </c>
      <c r="I24" s="8">
        <v>1</v>
      </c>
      <c r="J24" s="8" t="s">
        <v>41</v>
      </c>
      <c r="K24" s="8">
        <v>1</v>
      </c>
      <c r="L24" s="8" t="s">
        <v>91</v>
      </c>
      <c r="M24" s="8">
        <v>2</v>
      </c>
      <c r="N24" s="8">
        <v>1</v>
      </c>
      <c r="O24" s="8" t="s">
        <v>41</v>
      </c>
      <c r="P24" s="8">
        <v>1</v>
      </c>
      <c r="Q24" s="8">
        <v>2</v>
      </c>
      <c r="R24" s="26" t="s">
        <v>133</v>
      </c>
      <c r="S24" s="8"/>
      <c r="T24" s="8"/>
      <c r="U24" s="8"/>
      <c r="V24" s="8"/>
      <c r="W24" s="8"/>
      <c r="X24" s="8"/>
      <c r="Y24" s="8" t="s">
        <v>43</v>
      </c>
      <c r="Z24" s="8" t="s">
        <v>43</v>
      </c>
      <c r="AA24" s="8"/>
      <c r="AB24" s="8"/>
      <c r="AC24" s="8"/>
      <c r="AD24" s="8"/>
      <c r="AE24" s="8"/>
      <c r="AF24" s="8" t="s">
        <v>43</v>
      </c>
      <c r="AG24" s="8"/>
      <c r="AJ24" s="25"/>
    </row>
    <row r="25" spans="1:36" ht="18.95" customHeight="1">
      <c r="A25" s="24" t="s">
        <v>134</v>
      </c>
      <c r="B25" s="8" t="s">
        <v>135</v>
      </c>
      <c r="C25" t="s">
        <v>136</v>
      </c>
      <c r="D25" t="s">
        <v>137</v>
      </c>
      <c r="E25" s="8">
        <v>2006</v>
      </c>
      <c r="F25" s="8">
        <v>2006</v>
      </c>
      <c r="G25" s="8" t="s">
        <v>48</v>
      </c>
      <c r="H25" s="8" t="s">
        <v>49</v>
      </c>
      <c r="I25" s="8">
        <v>1</v>
      </c>
      <c r="J25" s="8" t="s">
        <v>41</v>
      </c>
      <c r="K25" s="8">
        <v>1</v>
      </c>
      <c r="L25" s="8" t="s">
        <v>41</v>
      </c>
      <c r="M25" s="8">
        <v>1</v>
      </c>
      <c r="N25" s="8">
        <v>1</v>
      </c>
      <c r="O25" s="8" t="s">
        <v>41</v>
      </c>
      <c r="P25" s="8">
        <v>1</v>
      </c>
      <c r="Q25" s="8">
        <f>IF(OR(K25=3, M25=3, N25=3, P25=3), 3, ROUND(((I25+K25+M25+N25+P25)/5),0))</f>
        <v>1</v>
      </c>
      <c r="R25" s="26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 t="s">
        <v>43</v>
      </c>
      <c r="AG25" s="8"/>
      <c r="AJ25" s="25"/>
    </row>
    <row r="26" spans="1:36" ht="18.95" customHeight="1">
      <c r="A26" s="24" t="s">
        <v>138</v>
      </c>
      <c r="B26" s="8" t="s">
        <v>139</v>
      </c>
      <c r="C26" s="8" t="s">
        <v>140</v>
      </c>
      <c r="D26" t="s">
        <v>141</v>
      </c>
      <c r="E26" s="8">
        <v>2008</v>
      </c>
      <c r="F26" s="8">
        <v>2008</v>
      </c>
      <c r="G26" s="8" t="s">
        <v>48</v>
      </c>
      <c r="H26" s="8" t="s">
        <v>49</v>
      </c>
      <c r="I26" s="8">
        <v>1</v>
      </c>
      <c r="J26" s="8" t="s">
        <v>41</v>
      </c>
      <c r="K26" s="8">
        <v>1</v>
      </c>
      <c r="L26" s="8" t="s">
        <v>41</v>
      </c>
      <c r="M26" s="8">
        <v>1</v>
      </c>
      <c r="N26" s="8">
        <v>1</v>
      </c>
      <c r="O26" s="8" t="s">
        <v>41</v>
      </c>
      <c r="P26" s="8">
        <v>1</v>
      </c>
      <c r="Q26" s="8">
        <f>IF(OR(K26=3, M26=3, N26=3, P26=3), 3, ROUND(((I26+K26+M26+N26+P26)/5),0))</f>
        <v>1</v>
      </c>
      <c r="R26" s="26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 t="s">
        <v>43</v>
      </c>
      <c r="AE26" s="8"/>
      <c r="AF26" s="8"/>
      <c r="AG26" s="8"/>
      <c r="AJ26" s="25"/>
    </row>
    <row r="27" spans="1:36" ht="18.95" customHeight="1">
      <c r="A27" s="24" t="s">
        <v>142</v>
      </c>
      <c r="B27" s="8" t="s">
        <v>143</v>
      </c>
      <c r="C27" s="8" t="s">
        <v>46</v>
      </c>
      <c r="D27" t="s">
        <v>144</v>
      </c>
      <c r="E27" s="8">
        <v>2007</v>
      </c>
      <c r="F27" s="8">
        <v>2009</v>
      </c>
      <c r="G27" s="8" t="s">
        <v>48</v>
      </c>
      <c r="H27" s="8" t="s">
        <v>49</v>
      </c>
      <c r="I27" s="8">
        <v>1</v>
      </c>
      <c r="J27" s="8" t="s">
        <v>41</v>
      </c>
      <c r="K27" s="8">
        <v>1</v>
      </c>
      <c r="L27" s="8" t="s">
        <v>41</v>
      </c>
      <c r="M27" s="8">
        <v>2</v>
      </c>
      <c r="N27" s="8">
        <v>1</v>
      </c>
      <c r="O27" s="8" t="s">
        <v>41</v>
      </c>
      <c r="P27" s="8">
        <v>1</v>
      </c>
      <c r="Q27" s="8">
        <f>IF(OR(K27=3, M27=3, N27=3, P27=3), 3, ROUND(((I27+K27+M27+N27+P27)/5),0))</f>
        <v>1</v>
      </c>
      <c r="R27" s="26" t="s">
        <v>145</v>
      </c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 t="s">
        <v>43</v>
      </c>
      <c r="AG27" s="8"/>
      <c r="AJ27" s="25"/>
    </row>
    <row r="28" spans="1:36" ht="18.95" customHeight="1">
      <c r="A28" s="24" t="s">
        <v>146</v>
      </c>
      <c r="B28" s="8" t="s">
        <v>147</v>
      </c>
      <c r="C28" s="8" t="s">
        <v>147</v>
      </c>
      <c r="D28" t="s">
        <v>148</v>
      </c>
      <c r="E28" s="8">
        <v>2003</v>
      </c>
      <c r="F28" s="8">
        <v>2003</v>
      </c>
      <c r="G28" s="8" t="s">
        <v>48</v>
      </c>
      <c r="H28" s="8" t="s">
        <v>49</v>
      </c>
      <c r="I28" s="8">
        <v>1</v>
      </c>
      <c r="J28" s="8" t="s">
        <v>41</v>
      </c>
      <c r="K28" s="8">
        <v>1</v>
      </c>
      <c r="L28" s="8" t="s">
        <v>41</v>
      </c>
      <c r="M28" s="8">
        <v>1</v>
      </c>
      <c r="N28" s="8">
        <v>1</v>
      </c>
      <c r="O28" s="8" t="s">
        <v>41</v>
      </c>
      <c r="P28" s="8">
        <v>1</v>
      </c>
      <c r="Q28" s="8">
        <v>1</v>
      </c>
      <c r="R28" s="26" t="s">
        <v>149</v>
      </c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 t="s">
        <v>43</v>
      </c>
      <c r="AG28" s="8"/>
      <c r="AJ28" s="25"/>
    </row>
    <row r="29" spans="1:36" ht="18.95" customHeight="1">
      <c r="A29" s="24" t="s">
        <v>150</v>
      </c>
      <c r="B29" s="8" t="s">
        <v>151</v>
      </c>
      <c r="C29" t="s">
        <v>57</v>
      </c>
      <c r="D29" t="s">
        <v>152</v>
      </c>
      <c r="E29" s="8">
        <v>2009</v>
      </c>
      <c r="F29" s="8">
        <v>2009</v>
      </c>
      <c r="G29" s="8" t="s">
        <v>48</v>
      </c>
      <c r="H29" s="8" t="s">
        <v>49</v>
      </c>
      <c r="I29" s="8">
        <v>1</v>
      </c>
      <c r="J29" s="8" t="s">
        <v>41</v>
      </c>
      <c r="K29" s="8">
        <v>1</v>
      </c>
      <c r="L29" s="8" t="s">
        <v>41</v>
      </c>
      <c r="M29" s="8">
        <v>1</v>
      </c>
      <c r="N29" s="8">
        <v>1</v>
      </c>
      <c r="O29" s="8" t="s">
        <v>41</v>
      </c>
      <c r="P29" s="8">
        <v>1</v>
      </c>
      <c r="Q29" s="8">
        <v>1</v>
      </c>
      <c r="R29" s="26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 t="s">
        <v>43</v>
      </c>
      <c r="AG29" s="8"/>
      <c r="AJ29" s="25"/>
    </row>
    <row r="30" spans="1:36" ht="18.95" customHeight="1">
      <c r="A30" s="24" t="s">
        <v>153</v>
      </c>
      <c r="B30" s="8" t="s">
        <v>51</v>
      </c>
      <c r="C30" t="s">
        <v>147</v>
      </c>
      <c r="D30" t="s">
        <v>154</v>
      </c>
      <c r="E30">
        <v>2015</v>
      </c>
      <c r="F30">
        <v>2015</v>
      </c>
      <c r="G30" s="8" t="s">
        <v>48</v>
      </c>
      <c r="H30" s="8" t="s">
        <v>49</v>
      </c>
      <c r="I30" s="8">
        <v>1</v>
      </c>
      <c r="J30" s="8" t="s">
        <v>41</v>
      </c>
      <c r="K30" s="8">
        <v>1</v>
      </c>
      <c r="L30" s="8" t="s">
        <v>41</v>
      </c>
      <c r="M30" s="8">
        <v>1</v>
      </c>
      <c r="N30" s="8">
        <v>1</v>
      </c>
      <c r="O30" s="8" t="s">
        <v>41</v>
      </c>
      <c r="P30" s="8">
        <v>1</v>
      </c>
      <c r="Q30" s="8">
        <v>1</v>
      </c>
      <c r="R30" s="26"/>
      <c r="S30" s="8"/>
      <c r="T30" s="8"/>
      <c r="U30" s="8"/>
      <c r="V30" s="8"/>
      <c r="W30" s="8"/>
      <c r="X30" s="8"/>
      <c r="Y30" s="8" t="s">
        <v>43</v>
      </c>
      <c r="Z30" s="8"/>
      <c r="AA30" s="8"/>
      <c r="AB30" s="8"/>
      <c r="AC30" s="8"/>
      <c r="AD30" s="8"/>
      <c r="AE30" s="8"/>
      <c r="AF30" s="8"/>
      <c r="AG30" s="8"/>
      <c r="AJ30" s="25"/>
    </row>
    <row r="31" spans="1:36" ht="18.95" customHeight="1">
      <c r="A31" s="24" t="s">
        <v>155</v>
      </c>
      <c r="B31" s="8" t="s">
        <v>51</v>
      </c>
      <c r="C31" t="s">
        <v>147</v>
      </c>
      <c r="D31" t="s">
        <v>156</v>
      </c>
      <c r="E31" s="8">
        <v>2014</v>
      </c>
      <c r="F31" s="8">
        <v>2014</v>
      </c>
      <c r="G31" s="8" t="s">
        <v>48</v>
      </c>
      <c r="H31" s="8" t="s">
        <v>49</v>
      </c>
      <c r="I31" s="8">
        <v>1</v>
      </c>
      <c r="J31" s="8" t="s">
        <v>41</v>
      </c>
      <c r="K31" s="8">
        <v>1</v>
      </c>
      <c r="L31" s="8" t="s">
        <v>41</v>
      </c>
      <c r="M31" s="8">
        <v>2</v>
      </c>
      <c r="N31" s="8">
        <v>1</v>
      </c>
      <c r="O31" s="8" t="s">
        <v>41</v>
      </c>
      <c r="P31" s="8">
        <v>1</v>
      </c>
      <c r="Q31" s="8">
        <v>1</v>
      </c>
      <c r="R31" s="26" t="s">
        <v>157</v>
      </c>
      <c r="S31" s="8"/>
      <c r="T31" s="8"/>
      <c r="U31" s="8"/>
      <c r="V31" s="8"/>
      <c r="W31" s="8"/>
      <c r="X31" s="8"/>
      <c r="Y31" s="8" t="s">
        <v>43</v>
      </c>
      <c r="Z31" s="8"/>
      <c r="AA31" s="8"/>
      <c r="AB31" s="8"/>
      <c r="AC31" s="8"/>
      <c r="AD31" s="8"/>
      <c r="AE31" s="8"/>
      <c r="AF31" s="8"/>
      <c r="AG31" s="8"/>
      <c r="AJ31" s="25"/>
    </row>
    <row r="32" spans="1:36" ht="18.95" customHeight="1">
      <c r="A32" s="24" t="s">
        <v>158</v>
      </c>
      <c r="B32" s="8" t="s">
        <v>51</v>
      </c>
      <c r="C32" s="8" t="s">
        <v>147</v>
      </c>
      <c r="D32" t="s">
        <v>159</v>
      </c>
      <c r="E32" s="8">
        <v>2014</v>
      </c>
      <c r="F32" s="8">
        <v>2014</v>
      </c>
      <c r="G32" s="8" t="s">
        <v>48</v>
      </c>
      <c r="H32" s="8" t="s">
        <v>49</v>
      </c>
      <c r="I32" s="8">
        <v>1</v>
      </c>
      <c r="J32" s="8" t="s">
        <v>41</v>
      </c>
      <c r="K32" s="8">
        <v>1</v>
      </c>
      <c r="L32" s="8" t="s">
        <v>41</v>
      </c>
      <c r="M32" s="8">
        <v>1</v>
      </c>
      <c r="N32" s="8">
        <v>1</v>
      </c>
      <c r="O32" s="8" t="s">
        <v>41</v>
      </c>
      <c r="P32" s="8">
        <v>1</v>
      </c>
      <c r="Q32" s="8">
        <v>1</v>
      </c>
      <c r="R32" s="26"/>
      <c r="S32" s="8"/>
      <c r="T32" s="8"/>
      <c r="U32" s="8"/>
      <c r="V32" s="8"/>
      <c r="W32" s="8"/>
      <c r="X32" s="8"/>
      <c r="Y32" s="8" t="s">
        <v>43</v>
      </c>
      <c r="Z32" s="8"/>
      <c r="AA32" s="8"/>
      <c r="AB32" s="8"/>
      <c r="AC32" s="8"/>
      <c r="AD32" s="8"/>
      <c r="AE32" s="8"/>
      <c r="AF32" s="8"/>
      <c r="AG32" s="8"/>
      <c r="AJ32" s="25"/>
    </row>
    <row r="33" spans="1:36" ht="18.95" customHeight="1">
      <c r="A33" s="24" t="s">
        <v>160</v>
      </c>
      <c r="B33" s="8" t="s">
        <v>51</v>
      </c>
      <c r="C33" s="8" t="s">
        <v>147</v>
      </c>
      <c r="D33" s="8" t="s">
        <v>161</v>
      </c>
      <c r="E33" s="8">
        <v>2001</v>
      </c>
      <c r="F33" s="8">
        <v>2009</v>
      </c>
      <c r="G33" s="8" t="s">
        <v>48</v>
      </c>
      <c r="H33" s="8" t="s">
        <v>49</v>
      </c>
      <c r="I33" s="8">
        <v>1</v>
      </c>
      <c r="J33" s="8" t="s">
        <v>41</v>
      </c>
      <c r="K33" s="8">
        <v>1</v>
      </c>
      <c r="L33" s="8" t="s">
        <v>41</v>
      </c>
      <c r="M33" s="8">
        <v>1</v>
      </c>
      <c r="N33" s="8">
        <v>1</v>
      </c>
      <c r="O33" s="8" t="s">
        <v>41</v>
      </c>
      <c r="P33" s="8">
        <v>1</v>
      </c>
      <c r="Q33" s="8">
        <v>1</v>
      </c>
      <c r="R33" s="26"/>
      <c r="S33" s="8"/>
      <c r="T33" s="8"/>
      <c r="U33" s="8"/>
      <c r="V33" s="8"/>
      <c r="W33" s="8"/>
      <c r="X33" s="8"/>
      <c r="Y33" s="8" t="s">
        <v>43</v>
      </c>
      <c r="Z33" s="8"/>
      <c r="AA33" s="8"/>
      <c r="AB33" s="8"/>
      <c r="AC33" s="8"/>
      <c r="AD33" s="8"/>
      <c r="AE33" s="8"/>
      <c r="AF33" s="8"/>
      <c r="AG33" s="8"/>
      <c r="AJ33" s="25"/>
    </row>
    <row r="34" spans="1:36" ht="18.95" customHeight="1">
      <c r="A34" s="24" t="s">
        <v>162</v>
      </c>
      <c r="B34" s="8" t="s">
        <v>51</v>
      </c>
      <c r="C34" s="8" t="s">
        <v>147</v>
      </c>
      <c r="D34" s="8" t="s">
        <v>163</v>
      </c>
      <c r="E34" s="8">
        <v>2011</v>
      </c>
      <c r="F34" s="8">
        <v>2011</v>
      </c>
      <c r="G34" s="8" t="s">
        <v>48</v>
      </c>
      <c r="H34" s="8" t="s">
        <v>49</v>
      </c>
      <c r="I34" s="8">
        <v>1</v>
      </c>
      <c r="J34" s="8" t="s">
        <v>41</v>
      </c>
      <c r="K34" s="8">
        <v>1</v>
      </c>
      <c r="L34" s="8" t="s">
        <v>41</v>
      </c>
      <c r="M34" s="8">
        <v>1</v>
      </c>
      <c r="N34" s="8">
        <v>1</v>
      </c>
      <c r="O34" s="8" t="s">
        <v>41</v>
      </c>
      <c r="P34" s="8">
        <v>1</v>
      </c>
      <c r="Q34" s="8">
        <v>1</v>
      </c>
      <c r="R34" s="26"/>
      <c r="S34" s="8"/>
      <c r="T34" s="8"/>
      <c r="U34" s="8"/>
      <c r="V34" s="8"/>
      <c r="W34" s="8"/>
      <c r="X34" s="8"/>
      <c r="Y34" s="8" t="s">
        <v>43</v>
      </c>
      <c r="Z34" s="8"/>
      <c r="AA34" s="8"/>
      <c r="AB34" s="8"/>
      <c r="AC34" s="8"/>
      <c r="AD34" s="8"/>
      <c r="AE34" s="8"/>
      <c r="AF34" s="8"/>
      <c r="AG34" s="8"/>
      <c r="AJ34" s="25"/>
    </row>
    <row r="35" spans="1:36" ht="18.95" customHeight="1">
      <c r="A35" s="24" t="s">
        <v>164</v>
      </c>
      <c r="B35" s="8" t="s">
        <v>51</v>
      </c>
      <c r="C35" s="8" t="s">
        <v>147</v>
      </c>
      <c r="D35" t="s">
        <v>165</v>
      </c>
      <c r="E35" s="8">
        <v>2016</v>
      </c>
      <c r="F35" s="8">
        <v>2016</v>
      </c>
      <c r="G35" s="8" t="s">
        <v>48</v>
      </c>
      <c r="H35" s="8" t="s">
        <v>49</v>
      </c>
      <c r="I35" s="8">
        <v>1</v>
      </c>
      <c r="J35" s="8" t="s">
        <v>41</v>
      </c>
      <c r="K35" s="8">
        <v>1</v>
      </c>
      <c r="L35" s="8" t="s">
        <v>41</v>
      </c>
      <c r="M35" s="8">
        <v>1</v>
      </c>
      <c r="N35" s="8">
        <v>1</v>
      </c>
      <c r="O35" s="8" t="s">
        <v>41</v>
      </c>
      <c r="P35" s="8">
        <v>1</v>
      </c>
      <c r="Q35" s="8">
        <v>1</v>
      </c>
      <c r="R35" s="26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 t="s">
        <v>43</v>
      </c>
      <c r="AJ35" s="25"/>
    </row>
    <row r="36" spans="1:36" ht="18.95" customHeight="1">
      <c r="A36" s="24" t="s">
        <v>166</v>
      </c>
      <c r="B36" t="s">
        <v>51</v>
      </c>
      <c r="C36" t="s">
        <v>147</v>
      </c>
      <c r="D36" t="s">
        <v>167</v>
      </c>
      <c r="E36" s="8">
        <v>2018</v>
      </c>
      <c r="F36" s="8">
        <v>2018</v>
      </c>
      <c r="G36" s="8" t="s">
        <v>48</v>
      </c>
      <c r="H36" s="8" t="s">
        <v>49</v>
      </c>
      <c r="I36" s="8">
        <v>1</v>
      </c>
      <c r="J36" s="8" t="s">
        <v>41</v>
      </c>
      <c r="K36" s="8">
        <v>1</v>
      </c>
      <c r="L36" s="8" t="s">
        <v>41</v>
      </c>
      <c r="M36" s="8">
        <v>1</v>
      </c>
      <c r="N36" s="8">
        <v>1</v>
      </c>
      <c r="O36" s="8" t="s">
        <v>41</v>
      </c>
      <c r="P36" s="8">
        <v>1</v>
      </c>
      <c r="Q36" s="8">
        <v>1</v>
      </c>
      <c r="R36" s="26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 t="s">
        <v>43</v>
      </c>
      <c r="AJ36" s="25"/>
    </row>
    <row r="37" spans="1:36" ht="18.95" customHeight="1">
      <c r="A37" s="24" t="s">
        <v>168</v>
      </c>
      <c r="B37" s="8" t="s">
        <v>51</v>
      </c>
      <c r="C37" s="8" t="s">
        <v>147</v>
      </c>
      <c r="D37" s="8" t="s">
        <v>169</v>
      </c>
      <c r="E37" s="8">
        <v>2017</v>
      </c>
      <c r="F37" s="8">
        <v>2017</v>
      </c>
      <c r="G37" s="8" t="s">
        <v>48</v>
      </c>
      <c r="H37" s="8" t="s">
        <v>49</v>
      </c>
      <c r="I37" s="8">
        <v>1</v>
      </c>
      <c r="J37" s="8" t="s">
        <v>41</v>
      </c>
      <c r="K37" s="8">
        <v>1</v>
      </c>
      <c r="L37" s="8" t="s">
        <v>41</v>
      </c>
      <c r="M37" s="8">
        <v>1</v>
      </c>
      <c r="N37" s="8">
        <v>1</v>
      </c>
      <c r="O37" s="8" t="s">
        <v>41</v>
      </c>
      <c r="P37" s="8">
        <v>1</v>
      </c>
      <c r="Q37" s="8">
        <v>1</v>
      </c>
      <c r="R37" s="26" t="s">
        <v>170</v>
      </c>
      <c r="S37" s="8"/>
      <c r="T37" s="8"/>
      <c r="U37" s="8"/>
      <c r="V37" s="8"/>
      <c r="W37" s="8"/>
      <c r="X37" s="8"/>
      <c r="Y37" s="8" t="s">
        <v>43</v>
      </c>
      <c r="Z37" s="8"/>
      <c r="AA37" s="8"/>
      <c r="AB37" s="8"/>
      <c r="AC37" s="8"/>
      <c r="AD37" s="8"/>
      <c r="AE37" s="8"/>
      <c r="AF37" s="8"/>
      <c r="AG37" s="8"/>
      <c r="AJ37" s="25"/>
    </row>
    <row r="38" spans="1:36" ht="18.95" customHeight="1">
      <c r="A38" s="24" t="s">
        <v>171</v>
      </c>
      <c r="B38" s="8" t="s">
        <v>172</v>
      </c>
      <c r="C38" s="27" t="s">
        <v>173</v>
      </c>
      <c r="D38" s="8" t="s">
        <v>174</v>
      </c>
      <c r="E38" s="8">
        <v>2005</v>
      </c>
      <c r="F38" s="8">
        <v>2019</v>
      </c>
      <c r="G38" s="8" t="s">
        <v>48</v>
      </c>
      <c r="H38" s="8" t="s">
        <v>49</v>
      </c>
      <c r="I38" s="8">
        <v>1</v>
      </c>
      <c r="J38" s="8" t="s">
        <v>41</v>
      </c>
      <c r="K38" s="8">
        <v>1</v>
      </c>
      <c r="L38" s="8" t="s">
        <v>41</v>
      </c>
      <c r="M38" s="8">
        <v>1</v>
      </c>
      <c r="N38" s="8">
        <v>1</v>
      </c>
      <c r="O38" s="8" t="s">
        <v>41</v>
      </c>
      <c r="P38" s="8">
        <v>1</v>
      </c>
      <c r="Q38" s="8">
        <f>IF(OR(K38=3, M38=3, N38=3, P38=3), 3, ROUND(((I38+K38+M38+N38+P38)/5),0))</f>
        <v>1</v>
      </c>
      <c r="R38" s="26"/>
      <c r="S38" s="8"/>
      <c r="T38" s="8"/>
      <c r="U38" s="8"/>
      <c r="V38" s="8"/>
      <c r="W38" s="8"/>
      <c r="X38" s="8"/>
      <c r="Y38" s="8"/>
      <c r="Z38" s="8"/>
      <c r="AA38" s="8"/>
      <c r="AB38" s="8"/>
      <c r="AC38" s="8" t="s">
        <v>43</v>
      </c>
      <c r="AD38" s="8"/>
      <c r="AE38" s="8"/>
      <c r="AF38" s="8"/>
      <c r="AG38" s="8"/>
      <c r="AJ38" s="25"/>
    </row>
    <row r="39" spans="1:36" ht="18.95" customHeight="1">
      <c r="A39" s="24" t="s">
        <v>175</v>
      </c>
      <c r="B39" s="8" t="s">
        <v>176</v>
      </c>
      <c r="C39" s="8" t="s">
        <v>177</v>
      </c>
      <c r="D39" s="8" t="s">
        <v>178</v>
      </c>
      <c r="E39" s="8">
        <v>2001</v>
      </c>
      <c r="F39" s="8">
        <v>2017</v>
      </c>
      <c r="G39" s="8" t="s">
        <v>39</v>
      </c>
      <c r="H39" s="8" t="s">
        <v>40</v>
      </c>
      <c r="I39" s="8">
        <v>1</v>
      </c>
      <c r="J39" s="8" t="s">
        <v>41</v>
      </c>
      <c r="K39" s="8">
        <v>1</v>
      </c>
      <c r="L39" s="8" t="s">
        <v>41</v>
      </c>
      <c r="M39" s="8">
        <v>1</v>
      </c>
      <c r="N39" s="8">
        <v>1</v>
      </c>
      <c r="O39" s="8" t="s">
        <v>41</v>
      </c>
      <c r="P39" s="8">
        <v>1</v>
      </c>
      <c r="Q39" s="8">
        <v>1</v>
      </c>
      <c r="R39" s="26" t="s">
        <v>179</v>
      </c>
      <c r="S39" s="8"/>
      <c r="T39" s="8"/>
      <c r="U39" s="8"/>
      <c r="V39" s="8"/>
      <c r="W39" s="8"/>
      <c r="X39" s="8"/>
      <c r="Y39" s="8"/>
      <c r="Z39" s="8"/>
      <c r="AA39" s="8"/>
      <c r="AB39" s="8"/>
      <c r="AC39" s="8" t="s">
        <v>43</v>
      </c>
      <c r="AD39" s="8"/>
      <c r="AE39" s="8"/>
      <c r="AF39" s="8"/>
      <c r="AG39" s="8"/>
      <c r="AJ39" s="25"/>
    </row>
    <row r="40" spans="1:36" ht="18.95" customHeight="1">
      <c r="A40" s="24" t="s">
        <v>180</v>
      </c>
      <c r="B40" s="8" t="s">
        <v>181</v>
      </c>
      <c r="C40" s="8" t="s">
        <v>182</v>
      </c>
      <c r="D40" s="8" t="s">
        <v>183</v>
      </c>
      <c r="E40" s="8">
        <v>2006</v>
      </c>
      <c r="F40" s="8">
        <v>2006</v>
      </c>
      <c r="G40" s="8" t="s">
        <v>48</v>
      </c>
      <c r="H40" s="8" t="s">
        <v>49</v>
      </c>
      <c r="I40" s="8">
        <v>1</v>
      </c>
      <c r="J40" s="8" t="s">
        <v>41</v>
      </c>
      <c r="K40" s="8">
        <v>1</v>
      </c>
      <c r="L40" s="8" t="s">
        <v>41</v>
      </c>
      <c r="M40" s="8">
        <v>1</v>
      </c>
      <c r="N40" s="8">
        <v>1</v>
      </c>
      <c r="O40" s="8" t="s">
        <v>41</v>
      </c>
      <c r="P40" s="8">
        <v>1</v>
      </c>
      <c r="Q40" s="8">
        <v>1</v>
      </c>
      <c r="R40" s="26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 t="s">
        <v>43</v>
      </c>
      <c r="AE40" s="8"/>
      <c r="AF40" s="8"/>
      <c r="AG40" s="8"/>
      <c r="AJ40" s="25"/>
    </row>
    <row r="41" spans="1:36" ht="18.95" customHeight="1">
      <c r="A41" s="24" t="s">
        <v>184</v>
      </c>
      <c r="B41" s="8" t="s">
        <v>181</v>
      </c>
      <c r="C41" s="8" t="s">
        <v>185</v>
      </c>
      <c r="D41" s="8" t="s">
        <v>186</v>
      </c>
      <c r="E41" s="8">
        <v>2003</v>
      </c>
      <c r="F41" s="8">
        <v>2003</v>
      </c>
      <c r="G41" s="8" t="s">
        <v>48</v>
      </c>
      <c r="H41" s="8" t="s">
        <v>49</v>
      </c>
      <c r="I41" s="8">
        <v>1</v>
      </c>
      <c r="J41" s="8" t="s">
        <v>41</v>
      </c>
      <c r="K41" s="8">
        <v>1</v>
      </c>
      <c r="L41" s="8" t="s">
        <v>41</v>
      </c>
      <c r="M41" s="8">
        <v>1</v>
      </c>
      <c r="N41" s="8">
        <v>1</v>
      </c>
      <c r="O41" s="8" t="s">
        <v>41</v>
      </c>
      <c r="P41" s="8">
        <v>1</v>
      </c>
      <c r="Q41" s="8">
        <v>1</v>
      </c>
      <c r="R41" s="26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 t="s">
        <v>43</v>
      </c>
      <c r="AE41" s="8"/>
      <c r="AF41" s="8"/>
      <c r="AG41" s="8"/>
      <c r="AJ41" s="25"/>
    </row>
    <row r="42" spans="1:36" ht="18.95" customHeight="1">
      <c r="A42" s="24" t="s">
        <v>187</v>
      </c>
      <c r="B42" s="8" t="s">
        <v>67</v>
      </c>
      <c r="C42" s="8" t="s">
        <v>188</v>
      </c>
      <c r="D42" t="s">
        <v>189</v>
      </c>
      <c r="E42" s="8">
        <v>2009</v>
      </c>
      <c r="F42" s="8">
        <v>2009</v>
      </c>
      <c r="G42" s="8" t="s">
        <v>48</v>
      </c>
      <c r="H42" s="8" t="s">
        <v>49</v>
      </c>
      <c r="I42" s="8">
        <v>1</v>
      </c>
      <c r="J42" s="8" t="s">
        <v>41</v>
      </c>
      <c r="K42" s="8">
        <v>1</v>
      </c>
      <c r="L42" s="8" t="s">
        <v>41</v>
      </c>
      <c r="M42" s="8">
        <v>1</v>
      </c>
      <c r="N42" s="8">
        <v>1</v>
      </c>
      <c r="O42" s="8" t="s">
        <v>41</v>
      </c>
      <c r="P42" s="8">
        <v>1</v>
      </c>
      <c r="Q42" s="8">
        <f>IF(OR(K42=3, M42=3, N42=3, P42=3), 3, ROUND(((I42+K42+M42+N42+P42)/5),0))</f>
        <v>1</v>
      </c>
      <c r="R42" s="26" t="s">
        <v>190</v>
      </c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 t="s">
        <v>43</v>
      </c>
      <c r="AG42" s="8"/>
      <c r="AJ42" s="25"/>
    </row>
    <row r="43" spans="1:36" ht="18.95" customHeight="1">
      <c r="A43" s="24" t="s">
        <v>191</v>
      </c>
      <c r="B43" s="8" t="s">
        <v>45</v>
      </c>
      <c r="C43" s="8" t="s">
        <v>192</v>
      </c>
      <c r="D43" t="s">
        <v>193</v>
      </c>
      <c r="E43" s="8">
        <v>2009</v>
      </c>
      <c r="F43" s="8">
        <v>2009</v>
      </c>
      <c r="G43" s="8" t="s">
        <v>48</v>
      </c>
      <c r="H43" s="8" t="s">
        <v>49</v>
      </c>
      <c r="I43" s="8">
        <v>1</v>
      </c>
      <c r="J43" s="8" t="s">
        <v>41</v>
      </c>
      <c r="K43" s="8">
        <v>1</v>
      </c>
      <c r="L43" s="8" t="s">
        <v>41</v>
      </c>
      <c r="M43" s="8">
        <v>1</v>
      </c>
      <c r="N43" s="8">
        <v>1</v>
      </c>
      <c r="O43" s="8" t="s">
        <v>41</v>
      </c>
      <c r="P43" s="8">
        <v>1</v>
      </c>
      <c r="Q43" s="8">
        <f>IF(OR(K43=3, M43=3, N43=3, P43=3), 3, ROUND(((I43+K43+M43+N43+P43)/5),0))</f>
        <v>1</v>
      </c>
      <c r="R43" s="26" t="s">
        <v>194</v>
      </c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 t="s">
        <v>43</v>
      </c>
      <c r="AE43" s="8"/>
      <c r="AF43" s="8"/>
      <c r="AG43" s="8"/>
      <c r="AJ43" s="25"/>
    </row>
    <row r="44" spans="1:36" ht="15">
      <c r="A44" s="24" t="s">
        <v>195</v>
      </c>
      <c r="B44" s="8" t="s">
        <v>196</v>
      </c>
      <c r="C44" s="8" t="s">
        <v>197</v>
      </c>
      <c r="D44" t="s">
        <v>198</v>
      </c>
      <c r="E44" s="8">
        <v>2001</v>
      </c>
      <c r="F44" s="8">
        <v>2006</v>
      </c>
      <c r="G44" s="8" t="s">
        <v>199</v>
      </c>
      <c r="H44" s="8" t="s">
        <v>200</v>
      </c>
      <c r="I44" s="8">
        <v>1</v>
      </c>
      <c r="J44" s="8" t="s">
        <v>41</v>
      </c>
      <c r="K44" s="8">
        <v>1</v>
      </c>
      <c r="L44" s="8" t="s">
        <v>41</v>
      </c>
      <c r="M44" s="8">
        <v>1</v>
      </c>
      <c r="N44" s="8">
        <v>1</v>
      </c>
      <c r="O44" s="8" t="s">
        <v>41</v>
      </c>
      <c r="P44" s="8">
        <v>2</v>
      </c>
      <c r="Q44" s="8">
        <v>2</v>
      </c>
      <c r="R44" s="26"/>
      <c r="S44" s="8"/>
      <c r="T44" s="8"/>
      <c r="U44" s="8"/>
      <c r="V44" s="8"/>
      <c r="W44" s="8"/>
      <c r="X44" s="8"/>
      <c r="Y44" s="8"/>
      <c r="Z44" s="8"/>
      <c r="AA44" s="8" t="s">
        <v>43</v>
      </c>
      <c r="AB44" s="8"/>
      <c r="AC44" s="8"/>
      <c r="AD44" s="8"/>
      <c r="AE44" s="8"/>
      <c r="AF44" s="8"/>
      <c r="AG44" s="8"/>
      <c r="AJ44" s="25"/>
    </row>
    <row r="45" spans="1:36" ht="18.95" customHeight="1">
      <c r="A45" s="24" t="s">
        <v>201</v>
      </c>
      <c r="B45" s="8" t="s">
        <v>202</v>
      </c>
      <c r="C45" t="s">
        <v>203</v>
      </c>
      <c r="D45" t="s">
        <v>204</v>
      </c>
      <c r="E45" s="8">
        <v>2008</v>
      </c>
      <c r="F45" s="8">
        <v>2011</v>
      </c>
      <c r="G45" s="8" t="s">
        <v>48</v>
      </c>
      <c r="H45" s="8" t="s">
        <v>49</v>
      </c>
      <c r="I45" s="8">
        <v>1</v>
      </c>
      <c r="J45" s="8" t="s">
        <v>41</v>
      </c>
      <c r="K45" s="8">
        <v>1</v>
      </c>
      <c r="L45" s="8" t="s">
        <v>41</v>
      </c>
      <c r="M45" s="8">
        <v>1</v>
      </c>
      <c r="N45" s="8">
        <v>1</v>
      </c>
      <c r="O45" s="8" t="s">
        <v>41</v>
      </c>
      <c r="P45" s="8">
        <v>2</v>
      </c>
      <c r="Q45" s="8">
        <v>2</v>
      </c>
      <c r="R45" s="26"/>
      <c r="S45" s="8"/>
      <c r="T45" s="8"/>
      <c r="U45" s="8"/>
      <c r="V45" s="8"/>
      <c r="W45" s="8"/>
      <c r="X45" s="8"/>
      <c r="Y45" s="8"/>
      <c r="Z45" s="8"/>
      <c r="AA45" s="8" t="s">
        <v>43</v>
      </c>
      <c r="AB45" s="8"/>
      <c r="AC45" s="8"/>
      <c r="AD45" s="8"/>
      <c r="AE45" s="8"/>
      <c r="AF45" s="8"/>
      <c r="AG45" s="8"/>
      <c r="AJ45" s="25"/>
    </row>
    <row r="46" spans="1:36" ht="24.75" customHeight="1">
      <c r="A46" s="24" t="s">
        <v>205</v>
      </c>
      <c r="B46" s="8" t="s">
        <v>206</v>
      </c>
      <c r="C46" s="8" t="s">
        <v>192</v>
      </c>
      <c r="D46" t="s">
        <v>207</v>
      </c>
      <c r="E46" s="8">
        <v>2009</v>
      </c>
      <c r="F46" s="8">
        <v>2010</v>
      </c>
      <c r="G46" s="8" t="s">
        <v>48</v>
      </c>
      <c r="H46" s="8" t="s">
        <v>49</v>
      </c>
      <c r="I46" s="8">
        <v>1</v>
      </c>
      <c r="J46" s="8" t="s">
        <v>41</v>
      </c>
      <c r="K46" s="8">
        <v>1</v>
      </c>
      <c r="L46" s="8" t="s">
        <v>41</v>
      </c>
      <c r="M46" s="8">
        <v>1</v>
      </c>
      <c r="N46" s="8">
        <v>1</v>
      </c>
      <c r="O46" s="8" t="s">
        <v>41</v>
      </c>
      <c r="P46" s="8">
        <v>1</v>
      </c>
      <c r="Q46" s="8">
        <v>1</v>
      </c>
      <c r="R46" s="26"/>
      <c r="S46" s="8" t="s">
        <v>43</v>
      </c>
      <c r="T46" s="8"/>
      <c r="U46" s="8"/>
      <c r="V46" s="8" t="s">
        <v>43</v>
      </c>
      <c r="W46" s="8"/>
      <c r="X46" s="8"/>
      <c r="Y46" s="8" t="s">
        <v>43</v>
      </c>
      <c r="Z46" s="8"/>
      <c r="AA46" s="8"/>
      <c r="AB46" s="8"/>
      <c r="AC46" s="8"/>
      <c r="AD46" s="8" t="s">
        <v>43</v>
      </c>
      <c r="AE46" s="8"/>
      <c r="AF46" s="8"/>
      <c r="AG46" s="8" t="s">
        <v>43</v>
      </c>
      <c r="AJ46" s="25"/>
    </row>
    <row r="47" spans="1:36" ht="15">
      <c r="A47" s="24" t="s">
        <v>208</v>
      </c>
      <c r="B47" s="8" t="s">
        <v>46</v>
      </c>
      <c r="C47" s="8" t="s">
        <v>192</v>
      </c>
      <c r="D47" t="s">
        <v>209</v>
      </c>
      <c r="E47" s="8">
        <v>2002</v>
      </c>
      <c r="F47" s="8">
        <v>2004</v>
      </c>
      <c r="G47" s="8" t="s">
        <v>48</v>
      </c>
      <c r="H47" s="8" t="s">
        <v>49</v>
      </c>
      <c r="I47" s="8">
        <v>1</v>
      </c>
      <c r="J47" s="8" t="s">
        <v>41</v>
      </c>
      <c r="K47" s="8">
        <v>1</v>
      </c>
      <c r="L47" s="8" t="s">
        <v>41</v>
      </c>
      <c r="M47" s="8">
        <v>1</v>
      </c>
      <c r="N47" s="8">
        <v>1</v>
      </c>
      <c r="O47" s="8" t="s">
        <v>41</v>
      </c>
      <c r="P47" s="8">
        <v>1</v>
      </c>
      <c r="Q47" s="8">
        <v>2</v>
      </c>
      <c r="R47" s="26" t="s">
        <v>210</v>
      </c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 t="s">
        <v>43</v>
      </c>
      <c r="AJ47" s="25"/>
    </row>
    <row r="48" spans="1:36" ht="19.5" customHeight="1">
      <c r="A48" s="24" t="s">
        <v>211</v>
      </c>
      <c r="B48" s="8" t="s">
        <v>212</v>
      </c>
      <c r="C48" s="8" t="s">
        <v>192</v>
      </c>
      <c r="D48" t="s">
        <v>213</v>
      </c>
      <c r="E48" s="8">
        <v>2006</v>
      </c>
      <c r="F48" s="8">
        <v>2008</v>
      </c>
      <c r="G48" s="8" t="s">
        <v>48</v>
      </c>
      <c r="H48" s="8" t="s">
        <v>49</v>
      </c>
      <c r="I48" s="8">
        <v>1</v>
      </c>
      <c r="J48" s="8" t="s">
        <v>41</v>
      </c>
      <c r="K48" s="8">
        <v>1</v>
      </c>
      <c r="L48" s="8" t="s">
        <v>41</v>
      </c>
      <c r="M48" s="8">
        <v>1</v>
      </c>
      <c r="N48" s="8">
        <v>1</v>
      </c>
      <c r="O48" s="8" t="s">
        <v>41</v>
      </c>
      <c r="P48" s="8">
        <v>1</v>
      </c>
      <c r="Q48" s="8">
        <v>1</v>
      </c>
      <c r="R48" s="26" t="s">
        <v>214</v>
      </c>
      <c r="S48" s="8"/>
      <c r="T48" s="8"/>
      <c r="U48" s="8"/>
      <c r="V48" s="8"/>
      <c r="W48" s="8"/>
      <c r="X48" s="8"/>
      <c r="Y48" s="8" t="s">
        <v>43</v>
      </c>
      <c r="Z48" s="8"/>
      <c r="AA48" s="8"/>
      <c r="AB48" s="8"/>
      <c r="AC48" s="8"/>
      <c r="AD48" s="8"/>
      <c r="AE48" s="8"/>
      <c r="AF48" s="8"/>
      <c r="AG48" s="8"/>
      <c r="AJ48" s="25"/>
    </row>
    <row r="49" spans="19:36" ht="18.95" customHeight="1">
      <c r="S49">
        <f t="shared" ref="S49:AG49" si="1">COUNTIF(S2:S48,"X")</f>
        <v>7</v>
      </c>
      <c r="T49">
        <f t="shared" si="1"/>
        <v>0</v>
      </c>
      <c r="U49">
        <f t="shared" si="1"/>
        <v>0</v>
      </c>
      <c r="V49">
        <f t="shared" si="1"/>
        <v>4</v>
      </c>
      <c r="W49">
        <f t="shared" si="1"/>
        <v>3</v>
      </c>
      <c r="X49">
        <f t="shared" si="1"/>
        <v>3</v>
      </c>
      <c r="Y49">
        <f t="shared" si="1"/>
        <v>13</v>
      </c>
      <c r="Z49">
        <f t="shared" si="1"/>
        <v>3</v>
      </c>
      <c r="AA49">
        <f t="shared" si="1"/>
        <v>2</v>
      </c>
      <c r="AB49">
        <f t="shared" si="1"/>
        <v>0</v>
      </c>
      <c r="AC49">
        <f t="shared" si="1"/>
        <v>2</v>
      </c>
      <c r="AD49">
        <f t="shared" si="1"/>
        <v>8</v>
      </c>
      <c r="AE49">
        <f t="shared" si="1"/>
        <v>1</v>
      </c>
      <c r="AF49">
        <f t="shared" si="1"/>
        <v>12</v>
      </c>
      <c r="AG49">
        <f t="shared" si="1"/>
        <v>10</v>
      </c>
      <c r="AJ49" s="25"/>
    </row>
  </sheetData>
  <conditionalFormatting sqref="S2:AG2">
    <cfRule type="cellIs" dxfId="274" priority="274" operator="equal">
      <formula>"x"</formula>
    </cfRule>
  </conditionalFormatting>
  <conditionalFormatting sqref="I2 K2 M2:N2 P1:Q6 P9:Q11 P13:P19 P22:P28 P33:Q40 P42:Q43 P45:Q48 Q13:Q30">
    <cfRule type="cellIs" dxfId="273" priority="275" operator="equal">
      <formula>1</formula>
    </cfRule>
  </conditionalFormatting>
  <conditionalFormatting sqref="S9:U9 S1:AG8 S10:AG11 T12:U12 Y12:AG12 S13:AG48">
    <cfRule type="containsBlanks" dxfId="272" priority="273">
      <formula>LEN(TRIM(S1))=0</formula>
    </cfRule>
  </conditionalFormatting>
  <conditionalFormatting sqref="I2 K2 P2:Q2 M2 P30">
    <cfRule type="cellIs" dxfId="271" priority="272" operator="equal">
      <formula>2</formula>
    </cfRule>
  </conditionalFormatting>
  <conditionalFormatting sqref="I2 K2 P2:Q2 M2 P30">
    <cfRule type="cellIs" dxfId="270" priority="271" operator="equal">
      <formula>3</formula>
    </cfRule>
  </conditionalFormatting>
  <conditionalFormatting sqref="N2">
    <cfRule type="cellIs" dxfId="269" priority="270" operator="equal">
      <formula>2</formula>
    </cfRule>
  </conditionalFormatting>
  <conditionalFormatting sqref="N2">
    <cfRule type="cellIs" dxfId="268" priority="269" operator="equal">
      <formula>3</formula>
    </cfRule>
  </conditionalFormatting>
  <conditionalFormatting sqref="S1:AG1">
    <cfRule type="cellIs" dxfId="267" priority="267" operator="equal">
      <formula>"x"</formula>
    </cfRule>
  </conditionalFormatting>
  <conditionalFormatting sqref="I1 K1 M1:N1">
    <cfRule type="cellIs" dxfId="266" priority="268" operator="equal">
      <formula>1</formula>
    </cfRule>
  </conditionalFormatting>
  <conditionalFormatting sqref="I1 K1 P1:Q1 M1">
    <cfRule type="cellIs" dxfId="265" priority="266" operator="equal">
      <formula>2</formula>
    </cfRule>
  </conditionalFormatting>
  <conditionalFormatting sqref="I1 K1 P1:Q1 M1">
    <cfRule type="cellIs" dxfId="264" priority="265" operator="equal">
      <formula>3</formula>
    </cfRule>
  </conditionalFormatting>
  <conditionalFormatting sqref="N1">
    <cfRule type="cellIs" dxfId="263" priority="264" operator="equal">
      <formula>2</formula>
    </cfRule>
  </conditionalFormatting>
  <conditionalFormatting sqref="N1">
    <cfRule type="cellIs" dxfId="262" priority="263" operator="equal">
      <formula>3</formula>
    </cfRule>
  </conditionalFormatting>
  <conditionalFormatting sqref="S3:AG3 AG4:AG6">
    <cfRule type="cellIs" dxfId="261" priority="261" operator="equal">
      <formula>"x"</formula>
    </cfRule>
  </conditionalFormatting>
  <conditionalFormatting sqref="M3:N3 K3 I3">
    <cfRule type="cellIs" dxfId="260" priority="262" operator="equal">
      <formula>1</formula>
    </cfRule>
  </conditionalFormatting>
  <conditionalFormatting sqref="M3 P3:Q3 K3 I3">
    <cfRule type="cellIs" dxfId="259" priority="260" operator="equal">
      <formula>2</formula>
    </cfRule>
  </conditionalFormatting>
  <conditionalFormatting sqref="M3 P3:Q3 K3 I3">
    <cfRule type="cellIs" dxfId="258" priority="259" operator="equal">
      <formula>3</formula>
    </cfRule>
  </conditionalFormatting>
  <conditionalFormatting sqref="N3">
    <cfRule type="cellIs" dxfId="257" priority="258" operator="equal">
      <formula>2</formula>
    </cfRule>
  </conditionalFormatting>
  <conditionalFormatting sqref="N3">
    <cfRule type="cellIs" dxfId="256" priority="257" operator="equal">
      <formula>3</formula>
    </cfRule>
  </conditionalFormatting>
  <conditionalFormatting sqref="S4:AG4">
    <cfRule type="cellIs" dxfId="255" priority="255" operator="equal">
      <formula>"x"</formula>
    </cfRule>
  </conditionalFormatting>
  <conditionalFormatting sqref="I4 K4 M4:N4">
    <cfRule type="cellIs" dxfId="254" priority="256" operator="equal">
      <formula>1</formula>
    </cfRule>
  </conditionalFormatting>
  <conditionalFormatting sqref="I4 K4 P4:Q4 M4">
    <cfRule type="cellIs" dxfId="253" priority="254" operator="equal">
      <formula>2</formula>
    </cfRule>
  </conditionalFormatting>
  <conditionalFormatting sqref="I4 K4 P4:Q4 M4">
    <cfRule type="cellIs" dxfId="252" priority="253" operator="equal">
      <formula>3</formula>
    </cfRule>
  </conditionalFormatting>
  <conditionalFormatting sqref="N4">
    <cfRule type="cellIs" dxfId="251" priority="252" operator="equal">
      <formula>2</formula>
    </cfRule>
  </conditionalFormatting>
  <conditionalFormatting sqref="N4">
    <cfRule type="cellIs" dxfId="250" priority="251" operator="equal">
      <formula>3</formula>
    </cfRule>
  </conditionalFormatting>
  <conditionalFormatting sqref="S5:AG5 AG6">
    <cfRule type="cellIs" dxfId="249" priority="249" operator="equal">
      <formula>"x"</formula>
    </cfRule>
  </conditionalFormatting>
  <conditionalFormatting sqref="I5 K5 M5:N5">
    <cfRule type="cellIs" dxfId="248" priority="250" operator="equal">
      <formula>1</formula>
    </cfRule>
  </conditionalFormatting>
  <conditionalFormatting sqref="I5 P5:Q5 K5 M5">
    <cfRule type="cellIs" dxfId="247" priority="248" operator="equal">
      <formula>2</formula>
    </cfRule>
  </conditionalFormatting>
  <conditionalFormatting sqref="I5 P5:Q5 K5 M5">
    <cfRule type="cellIs" dxfId="246" priority="247" operator="equal">
      <formula>3</formula>
    </cfRule>
  </conditionalFormatting>
  <conditionalFormatting sqref="N5">
    <cfRule type="cellIs" dxfId="245" priority="246" operator="equal">
      <formula>2</formula>
    </cfRule>
  </conditionalFormatting>
  <conditionalFormatting sqref="N5">
    <cfRule type="cellIs" dxfId="244" priority="245" operator="equal">
      <formula>3</formula>
    </cfRule>
  </conditionalFormatting>
  <conditionalFormatting sqref="S6:AG6">
    <cfRule type="cellIs" dxfId="243" priority="243" operator="equal">
      <formula>"x"</formula>
    </cfRule>
  </conditionalFormatting>
  <conditionalFormatting sqref="I6 K6 M6:N6 Q7:Q8">
    <cfRule type="cellIs" dxfId="242" priority="244" operator="equal">
      <formula>1</formula>
    </cfRule>
  </conditionalFormatting>
  <conditionalFormatting sqref="P6 I6 K6 M6 Q6:Q8">
    <cfRule type="cellIs" dxfId="241" priority="242" operator="equal">
      <formula>2</formula>
    </cfRule>
  </conditionalFormatting>
  <conditionalFormatting sqref="P6 I6 K6 M6 Q6:Q8">
    <cfRule type="cellIs" dxfId="240" priority="241" operator="equal">
      <formula>3</formula>
    </cfRule>
  </conditionalFormatting>
  <conditionalFormatting sqref="N6">
    <cfRule type="cellIs" dxfId="239" priority="240" operator="equal">
      <formula>2</formula>
    </cfRule>
  </conditionalFormatting>
  <conditionalFormatting sqref="N6">
    <cfRule type="cellIs" dxfId="238" priority="239" operator="equal">
      <formula>3</formula>
    </cfRule>
  </conditionalFormatting>
  <conditionalFormatting sqref="S7:AG7">
    <cfRule type="cellIs" dxfId="237" priority="237" operator="equal">
      <formula>"x"</formula>
    </cfRule>
  </conditionalFormatting>
  <conditionalFormatting sqref="P7 M7:N7 K7 I7">
    <cfRule type="cellIs" dxfId="236" priority="238" operator="equal">
      <formula>1</formula>
    </cfRule>
  </conditionalFormatting>
  <conditionalFormatting sqref="P7 M7 K7 I7">
    <cfRule type="cellIs" dxfId="235" priority="236" operator="equal">
      <formula>2</formula>
    </cfRule>
  </conditionalFormatting>
  <conditionalFormatting sqref="P7 M7 K7 I7">
    <cfRule type="cellIs" dxfId="234" priority="235" operator="equal">
      <formula>3</formula>
    </cfRule>
  </conditionalFormatting>
  <conditionalFormatting sqref="N7">
    <cfRule type="cellIs" dxfId="233" priority="234" operator="equal">
      <formula>2</formula>
    </cfRule>
  </conditionalFormatting>
  <conditionalFormatting sqref="N7">
    <cfRule type="cellIs" dxfId="232" priority="233" operator="equal">
      <formula>3</formula>
    </cfRule>
  </conditionalFormatting>
  <conditionalFormatting sqref="S8:AG8 V9">
    <cfRule type="cellIs" dxfId="231" priority="231" operator="equal">
      <formula>"x"</formula>
    </cfRule>
  </conditionalFormatting>
  <conditionalFormatting sqref="P8 I8 K8 M8:N8">
    <cfRule type="cellIs" dxfId="230" priority="232" operator="equal">
      <formula>1</formula>
    </cfRule>
  </conditionalFormatting>
  <conditionalFormatting sqref="V9">
    <cfRule type="containsBlanks" dxfId="229" priority="230">
      <formula>LEN(TRIM(V9))=0</formula>
    </cfRule>
  </conditionalFormatting>
  <conditionalFormatting sqref="P8 I8 K8 M8">
    <cfRule type="cellIs" dxfId="228" priority="229" operator="equal">
      <formula>2</formula>
    </cfRule>
  </conditionalFormatting>
  <conditionalFormatting sqref="P8 I8 K8 M8">
    <cfRule type="cellIs" dxfId="227" priority="228" operator="equal">
      <formula>3</formula>
    </cfRule>
  </conditionalFormatting>
  <conditionalFormatting sqref="N8">
    <cfRule type="cellIs" dxfId="226" priority="227" operator="equal">
      <formula>2</formula>
    </cfRule>
  </conditionalFormatting>
  <conditionalFormatting sqref="N8">
    <cfRule type="cellIs" dxfId="225" priority="226" operator="equal">
      <formula>3</formula>
    </cfRule>
  </conditionalFormatting>
  <conditionalFormatting sqref="S9:U9 W9:AG9">
    <cfRule type="cellIs" dxfId="224" priority="224" operator="equal">
      <formula>"x"</formula>
    </cfRule>
  </conditionalFormatting>
  <conditionalFormatting sqref="M9:N9 K9 I9">
    <cfRule type="cellIs" dxfId="223" priority="225" operator="equal">
      <formula>1</formula>
    </cfRule>
  </conditionalFormatting>
  <conditionalFormatting sqref="W9:AG9">
    <cfRule type="containsBlanks" dxfId="222" priority="223">
      <formula>LEN(TRIM(W9))=0</formula>
    </cfRule>
  </conditionalFormatting>
  <conditionalFormatting sqref="M9 K9 I9 P9:Q9">
    <cfRule type="cellIs" dxfId="221" priority="222" operator="equal">
      <formula>2</formula>
    </cfRule>
  </conditionalFormatting>
  <conditionalFormatting sqref="M9 K9 I9 P9:Q9">
    <cfRule type="cellIs" dxfId="220" priority="221" operator="equal">
      <formula>3</formula>
    </cfRule>
  </conditionalFormatting>
  <conditionalFormatting sqref="N9">
    <cfRule type="cellIs" dxfId="219" priority="220" operator="equal">
      <formula>2</formula>
    </cfRule>
  </conditionalFormatting>
  <conditionalFormatting sqref="N9">
    <cfRule type="cellIs" dxfId="218" priority="219" operator="equal">
      <formula>3</formula>
    </cfRule>
  </conditionalFormatting>
  <conditionalFormatting sqref="S10:AG10">
    <cfRule type="cellIs" dxfId="217" priority="217" operator="equal">
      <formula>"x"</formula>
    </cfRule>
  </conditionalFormatting>
  <conditionalFormatting sqref="M10:N10 K10 I10">
    <cfRule type="cellIs" dxfId="216" priority="218" operator="equal">
      <formula>1</formula>
    </cfRule>
  </conditionalFormatting>
  <conditionalFormatting sqref="P10:Q10 M10 K10 I10">
    <cfRule type="cellIs" dxfId="215" priority="216" operator="equal">
      <formula>2</formula>
    </cfRule>
  </conditionalFormatting>
  <conditionalFormatting sqref="P10:Q10 M10 K10 I10">
    <cfRule type="cellIs" dxfId="214" priority="215" operator="equal">
      <formula>3</formula>
    </cfRule>
  </conditionalFormatting>
  <conditionalFormatting sqref="N10">
    <cfRule type="cellIs" dxfId="213" priority="214" operator="equal">
      <formula>2</formula>
    </cfRule>
  </conditionalFormatting>
  <conditionalFormatting sqref="N10">
    <cfRule type="cellIs" dxfId="212" priority="213" operator="equal">
      <formula>3</formula>
    </cfRule>
  </conditionalFormatting>
  <conditionalFormatting sqref="S11:AG11">
    <cfRule type="cellIs" dxfId="211" priority="211" operator="equal">
      <formula>"x"</formula>
    </cfRule>
  </conditionalFormatting>
  <conditionalFormatting sqref="I11:I12 K11:K12 M11:N12 P12:Q12">
    <cfRule type="cellIs" dxfId="210" priority="212" operator="equal">
      <formula>1</formula>
    </cfRule>
  </conditionalFormatting>
  <conditionalFormatting sqref="I11:I12 K11:K12 M11:M12 P11:Q12">
    <cfRule type="cellIs" dxfId="209" priority="210" operator="equal">
      <formula>2</formula>
    </cfRule>
  </conditionalFormatting>
  <conditionalFormatting sqref="I11:I12 K11:K12 M11:M12 P11:Q12">
    <cfRule type="cellIs" dxfId="208" priority="209" operator="equal">
      <formula>3</formula>
    </cfRule>
  </conditionalFormatting>
  <conditionalFormatting sqref="N11:N12">
    <cfRule type="cellIs" dxfId="207" priority="208" operator="equal">
      <formula>2</formula>
    </cfRule>
  </conditionalFormatting>
  <conditionalFormatting sqref="N11:N12">
    <cfRule type="cellIs" dxfId="206" priority="207" operator="equal">
      <formula>3</formula>
    </cfRule>
  </conditionalFormatting>
  <conditionalFormatting sqref="T12:U12 S13:AG13 Y12:AG12">
    <cfRule type="cellIs" dxfId="205" priority="205" operator="equal">
      <formula>"x"</formula>
    </cfRule>
  </conditionalFormatting>
  <conditionalFormatting sqref="I13 M13:N13 K13:K14">
    <cfRule type="cellIs" dxfId="204" priority="206" operator="equal">
      <formula>1</formula>
    </cfRule>
  </conditionalFormatting>
  <conditionalFormatting sqref="I13 M13 P13:Q13 K13:K14">
    <cfRule type="cellIs" dxfId="203" priority="204" operator="equal">
      <formula>2</formula>
    </cfRule>
  </conditionalFormatting>
  <conditionalFormatting sqref="I13 M13 P13:Q13 K13:K14">
    <cfRule type="cellIs" dxfId="202" priority="203" operator="equal">
      <formula>3</formula>
    </cfRule>
  </conditionalFormatting>
  <conditionalFormatting sqref="N13">
    <cfRule type="cellIs" dxfId="201" priority="202" operator="equal">
      <formula>2</formula>
    </cfRule>
  </conditionalFormatting>
  <conditionalFormatting sqref="N13">
    <cfRule type="cellIs" dxfId="200" priority="201" operator="equal">
      <formula>3</formula>
    </cfRule>
  </conditionalFormatting>
  <conditionalFormatting sqref="S14:AG14">
    <cfRule type="cellIs" dxfId="199" priority="199" operator="equal">
      <formula>"x"</formula>
    </cfRule>
  </conditionalFormatting>
  <conditionalFormatting sqref="M14:N14 I14">
    <cfRule type="cellIs" dxfId="198" priority="200" operator="equal">
      <formula>1</formula>
    </cfRule>
  </conditionalFormatting>
  <conditionalFormatting sqref="M14 I14 P14:Q14">
    <cfRule type="cellIs" dxfId="197" priority="198" operator="equal">
      <formula>2</formula>
    </cfRule>
  </conditionalFormatting>
  <conditionalFormatting sqref="M14 I14 P14:Q14">
    <cfRule type="cellIs" dxfId="196" priority="197" operator="equal">
      <formula>3</formula>
    </cfRule>
  </conditionalFormatting>
  <conditionalFormatting sqref="N14">
    <cfRule type="cellIs" dxfId="195" priority="196" operator="equal">
      <formula>2</formula>
    </cfRule>
  </conditionalFormatting>
  <conditionalFormatting sqref="N14">
    <cfRule type="cellIs" dxfId="194" priority="195" operator="equal">
      <formula>3</formula>
    </cfRule>
  </conditionalFormatting>
  <conditionalFormatting sqref="S15:AG15">
    <cfRule type="cellIs" dxfId="193" priority="193" operator="equal">
      <formula>"x"</formula>
    </cfRule>
  </conditionalFormatting>
  <conditionalFormatting sqref="M15:N15 K15 I15">
    <cfRule type="cellIs" dxfId="192" priority="194" operator="equal">
      <formula>1</formula>
    </cfRule>
  </conditionalFormatting>
  <conditionalFormatting sqref="M15 K15 I15 P15:Q15">
    <cfRule type="cellIs" dxfId="191" priority="192" operator="equal">
      <formula>2</formula>
    </cfRule>
  </conditionalFormatting>
  <conditionalFormatting sqref="M15 K15 I15 P15:Q15">
    <cfRule type="cellIs" dxfId="190" priority="191" operator="equal">
      <formula>3</formula>
    </cfRule>
  </conditionalFormatting>
  <conditionalFormatting sqref="N15">
    <cfRule type="cellIs" dxfId="189" priority="190" operator="equal">
      <formula>2</formula>
    </cfRule>
  </conditionalFormatting>
  <conditionalFormatting sqref="N15">
    <cfRule type="cellIs" dxfId="188" priority="189" operator="equal">
      <formula>3</formula>
    </cfRule>
  </conditionalFormatting>
  <conditionalFormatting sqref="S16:AG16">
    <cfRule type="cellIs" dxfId="187" priority="187" operator="equal">
      <formula>"x"</formula>
    </cfRule>
  </conditionalFormatting>
  <conditionalFormatting sqref="M16:N16 K16 I16">
    <cfRule type="cellIs" dxfId="186" priority="188" operator="equal">
      <formula>1</formula>
    </cfRule>
  </conditionalFormatting>
  <conditionalFormatting sqref="P16:Q16 M16 K16 I16">
    <cfRule type="cellIs" dxfId="185" priority="186" operator="equal">
      <formula>2</formula>
    </cfRule>
  </conditionalFormatting>
  <conditionalFormatting sqref="P16:Q16 M16 K16 I16">
    <cfRule type="cellIs" dxfId="184" priority="185" operator="equal">
      <formula>3</formula>
    </cfRule>
  </conditionalFormatting>
  <conditionalFormatting sqref="N16">
    <cfRule type="cellIs" dxfId="183" priority="184" operator="equal">
      <formula>2</formula>
    </cfRule>
  </conditionalFormatting>
  <conditionalFormatting sqref="N16">
    <cfRule type="cellIs" dxfId="182" priority="183" operator="equal">
      <formula>3</formula>
    </cfRule>
  </conditionalFormatting>
  <conditionalFormatting sqref="S17:AG17">
    <cfRule type="cellIs" dxfId="181" priority="181" operator="equal">
      <formula>"x"</formula>
    </cfRule>
  </conditionalFormatting>
  <conditionalFormatting sqref="I17 K17 M17:N17">
    <cfRule type="cellIs" dxfId="180" priority="182" operator="equal">
      <formula>1</formula>
    </cfRule>
  </conditionalFormatting>
  <conditionalFormatting sqref="I17 K17 M17 P17:Q17">
    <cfRule type="cellIs" dxfId="179" priority="180" operator="equal">
      <formula>2</formula>
    </cfRule>
  </conditionalFormatting>
  <conditionalFormatting sqref="I17 K17 M17 P17:Q17">
    <cfRule type="cellIs" dxfId="178" priority="179" operator="equal">
      <formula>3</formula>
    </cfRule>
  </conditionalFormatting>
  <conditionalFormatting sqref="N17">
    <cfRule type="cellIs" dxfId="177" priority="178" operator="equal">
      <formula>2</formula>
    </cfRule>
  </conditionalFormatting>
  <conditionalFormatting sqref="N17">
    <cfRule type="cellIs" dxfId="176" priority="177" operator="equal">
      <formula>3</formula>
    </cfRule>
  </conditionalFormatting>
  <conditionalFormatting sqref="S18:AG18">
    <cfRule type="cellIs" dxfId="175" priority="175" operator="equal">
      <formula>"x"</formula>
    </cfRule>
  </conditionalFormatting>
  <conditionalFormatting sqref="M18:N18 K18 I18">
    <cfRule type="cellIs" dxfId="174" priority="176" operator="equal">
      <formula>1</formula>
    </cfRule>
  </conditionalFormatting>
  <conditionalFormatting sqref="P18:Q18 M18 K18 I18">
    <cfRule type="cellIs" dxfId="173" priority="174" operator="equal">
      <formula>2</formula>
    </cfRule>
  </conditionalFormatting>
  <conditionalFormatting sqref="P18:Q18 M18 K18 I18">
    <cfRule type="cellIs" dxfId="172" priority="173" operator="equal">
      <formula>3</formula>
    </cfRule>
  </conditionalFormatting>
  <conditionalFormatting sqref="N18">
    <cfRule type="cellIs" dxfId="171" priority="172" operator="equal">
      <formula>2</formula>
    </cfRule>
  </conditionalFormatting>
  <conditionalFormatting sqref="N18">
    <cfRule type="cellIs" dxfId="170" priority="171" operator="equal">
      <formula>3</formula>
    </cfRule>
  </conditionalFormatting>
  <conditionalFormatting sqref="S19:AG19">
    <cfRule type="cellIs" dxfId="169" priority="169" operator="equal">
      <formula>"x"</formula>
    </cfRule>
  </conditionalFormatting>
  <conditionalFormatting sqref="M19:N19 I19:I21 K19:K21 P20:P21">
    <cfRule type="cellIs" dxfId="168" priority="170" operator="equal">
      <formula>1</formula>
    </cfRule>
  </conditionalFormatting>
  <conditionalFormatting sqref="M19 Q19 I19:I21 K19:K21 P19:P21">
    <cfRule type="cellIs" dxfId="167" priority="168" operator="equal">
      <formula>2</formula>
    </cfRule>
  </conditionalFormatting>
  <conditionalFormatting sqref="M19 Q19 I19:I21 K19:K21 P19:P21">
    <cfRule type="cellIs" dxfId="166" priority="167" operator="equal">
      <formula>3</formula>
    </cfRule>
  </conditionalFormatting>
  <conditionalFormatting sqref="N19">
    <cfRule type="cellIs" dxfId="165" priority="166" operator="equal">
      <formula>2</formula>
    </cfRule>
  </conditionalFormatting>
  <conditionalFormatting sqref="N19">
    <cfRule type="cellIs" dxfId="164" priority="165" operator="equal">
      <formula>3</formula>
    </cfRule>
  </conditionalFormatting>
  <conditionalFormatting sqref="S20:AG20">
    <cfRule type="cellIs" dxfId="163" priority="163" operator="equal">
      <formula>"x"</formula>
    </cfRule>
  </conditionalFormatting>
  <conditionalFormatting sqref="M20:N21">
    <cfRule type="cellIs" dxfId="162" priority="164" operator="equal">
      <formula>1</formula>
    </cfRule>
  </conditionalFormatting>
  <conditionalFormatting sqref="M20:M21 Q20:Q21">
    <cfRule type="cellIs" dxfId="161" priority="162" operator="equal">
      <formula>2</formula>
    </cfRule>
  </conditionalFormatting>
  <conditionalFormatting sqref="M20:M21 Q20:Q21">
    <cfRule type="cellIs" dxfId="160" priority="161" operator="equal">
      <formula>3</formula>
    </cfRule>
  </conditionalFormatting>
  <conditionalFormatting sqref="N20:N21">
    <cfRule type="cellIs" dxfId="159" priority="160" operator="equal">
      <formula>2</formula>
    </cfRule>
  </conditionalFormatting>
  <conditionalFormatting sqref="N20:N21">
    <cfRule type="cellIs" dxfId="158" priority="159" operator="equal">
      <formula>3</formula>
    </cfRule>
  </conditionalFormatting>
  <conditionalFormatting sqref="S21:AG21">
    <cfRule type="cellIs" dxfId="157" priority="158" operator="equal">
      <formula>"x"</formula>
    </cfRule>
  </conditionalFormatting>
  <conditionalFormatting sqref="S22:AG22">
    <cfRule type="cellIs" dxfId="156" priority="156" operator="equal">
      <formula>"x"</formula>
    </cfRule>
  </conditionalFormatting>
  <conditionalFormatting sqref="M22:N22 K22 I22">
    <cfRule type="cellIs" dxfId="155" priority="157" operator="equal">
      <formula>1</formula>
    </cfRule>
  </conditionalFormatting>
  <conditionalFormatting sqref="P22:Q22 M22 K22 I22">
    <cfRule type="cellIs" dxfId="154" priority="155" operator="equal">
      <formula>2</formula>
    </cfRule>
  </conditionalFormatting>
  <conditionalFormatting sqref="P22:Q22 M22 K22 I22">
    <cfRule type="cellIs" dxfId="153" priority="154" operator="equal">
      <formula>3</formula>
    </cfRule>
  </conditionalFormatting>
  <conditionalFormatting sqref="N22">
    <cfRule type="cellIs" dxfId="152" priority="153" operator="equal">
      <formula>2</formula>
    </cfRule>
  </conditionalFormatting>
  <conditionalFormatting sqref="N22">
    <cfRule type="cellIs" dxfId="151" priority="152" operator="equal">
      <formula>3</formula>
    </cfRule>
  </conditionalFormatting>
  <conditionalFormatting sqref="S23:AG24">
    <cfRule type="cellIs" dxfId="150" priority="150" operator="equal">
      <formula>"x"</formula>
    </cfRule>
  </conditionalFormatting>
  <conditionalFormatting sqref="M23:N24 K23:K24 I23:I24">
    <cfRule type="cellIs" dxfId="149" priority="151" operator="equal">
      <formula>1</formula>
    </cfRule>
  </conditionalFormatting>
  <conditionalFormatting sqref="M23:M24 K23:K24 I23:I24 P23:Q24">
    <cfRule type="cellIs" dxfId="148" priority="149" operator="equal">
      <formula>2</formula>
    </cfRule>
  </conditionalFormatting>
  <conditionalFormatting sqref="M23:M24 K23:K24 I23:I24 P23:Q24">
    <cfRule type="cellIs" dxfId="147" priority="148" operator="equal">
      <formula>3</formula>
    </cfRule>
  </conditionalFormatting>
  <conditionalFormatting sqref="N23:N24">
    <cfRule type="cellIs" dxfId="146" priority="147" operator="equal">
      <formula>2</formula>
    </cfRule>
  </conditionalFormatting>
  <conditionalFormatting sqref="N23:N24">
    <cfRule type="cellIs" dxfId="145" priority="146" operator="equal">
      <formula>3</formula>
    </cfRule>
  </conditionalFormatting>
  <conditionalFormatting sqref="S25:AG26">
    <cfRule type="cellIs" dxfId="144" priority="144" operator="equal">
      <formula>"x"</formula>
    </cfRule>
  </conditionalFormatting>
  <conditionalFormatting sqref="M25:N26 I25:I26 K25:K26">
    <cfRule type="cellIs" dxfId="143" priority="145" operator="equal">
      <formula>1</formula>
    </cfRule>
  </conditionalFormatting>
  <conditionalFormatting sqref="M25:M26 I25:I26 K25:K26 P25:Q26">
    <cfRule type="cellIs" dxfId="142" priority="143" operator="equal">
      <formula>2</formula>
    </cfRule>
  </conditionalFormatting>
  <conditionalFormatting sqref="M25:M26 I25:I26 K25:K26 P25:Q26">
    <cfRule type="cellIs" dxfId="141" priority="142" operator="equal">
      <formula>3</formula>
    </cfRule>
  </conditionalFormatting>
  <conditionalFormatting sqref="N25:N26">
    <cfRule type="cellIs" dxfId="140" priority="141" operator="equal">
      <formula>2</formula>
    </cfRule>
  </conditionalFormatting>
  <conditionalFormatting sqref="N25:N26">
    <cfRule type="cellIs" dxfId="139" priority="140" operator="equal">
      <formula>3</formula>
    </cfRule>
  </conditionalFormatting>
  <conditionalFormatting sqref="S27:AG27 AF28:AF29">
    <cfRule type="cellIs" dxfId="138" priority="138" operator="equal">
      <formula>"x"</formula>
    </cfRule>
  </conditionalFormatting>
  <conditionalFormatting sqref="I27 K27 M27:N27">
    <cfRule type="cellIs" dxfId="137" priority="139" operator="equal">
      <formula>1</formula>
    </cfRule>
  </conditionalFormatting>
  <conditionalFormatting sqref="P27:Q27 I27 K27 M27">
    <cfRule type="cellIs" dxfId="136" priority="137" operator="equal">
      <formula>2</formula>
    </cfRule>
  </conditionalFormatting>
  <conditionalFormatting sqref="P27:Q27 I27 K27 M27">
    <cfRule type="cellIs" dxfId="135" priority="136" operator="equal">
      <formula>3</formula>
    </cfRule>
  </conditionalFormatting>
  <conditionalFormatting sqref="N27">
    <cfRule type="cellIs" dxfId="134" priority="135" operator="equal">
      <formula>2</formula>
    </cfRule>
  </conditionalFormatting>
  <conditionalFormatting sqref="N27">
    <cfRule type="cellIs" dxfId="133" priority="134" operator="equal">
      <formula>3</formula>
    </cfRule>
  </conditionalFormatting>
  <conditionalFormatting sqref="S28:AG29">
    <cfRule type="cellIs" dxfId="132" priority="132" operator="equal">
      <formula>"x"</formula>
    </cfRule>
  </conditionalFormatting>
  <conditionalFormatting sqref="M28:N28 K28 I28">
    <cfRule type="cellIs" dxfId="131" priority="133" operator="equal">
      <formula>1</formula>
    </cfRule>
  </conditionalFormatting>
  <conditionalFormatting sqref="M28 K28 I28 P28:Q28 Q29">
    <cfRule type="cellIs" dxfId="130" priority="131" operator="equal">
      <formula>2</formula>
    </cfRule>
  </conditionalFormatting>
  <conditionalFormatting sqref="M28 K28 I28 P28:Q28 Q29">
    <cfRule type="cellIs" dxfId="129" priority="130" operator="equal">
      <formula>3</formula>
    </cfRule>
  </conditionalFormatting>
  <conditionalFormatting sqref="N28">
    <cfRule type="cellIs" dxfId="128" priority="129" operator="equal">
      <formula>2</formula>
    </cfRule>
  </conditionalFormatting>
  <conditionalFormatting sqref="N28">
    <cfRule type="cellIs" dxfId="127" priority="128" operator="equal">
      <formula>3</formula>
    </cfRule>
  </conditionalFormatting>
  <conditionalFormatting sqref="P30">
    <cfRule type="cellIs" dxfId="126" priority="127" operator="equal">
      <formula>1</formula>
    </cfRule>
  </conditionalFormatting>
  <conditionalFormatting sqref="S30:AG30 Y31:Y34">
    <cfRule type="cellIs" dxfId="125" priority="125" operator="equal">
      <formula>"x"</formula>
    </cfRule>
  </conditionalFormatting>
  <conditionalFormatting sqref="Q31:Q32">
    <cfRule type="cellIs" dxfId="124" priority="126" operator="equal">
      <formula>1</formula>
    </cfRule>
  </conditionalFormatting>
  <conditionalFormatting sqref="Q30:Q32">
    <cfRule type="cellIs" dxfId="123" priority="124" operator="equal">
      <formula>2</formula>
    </cfRule>
  </conditionalFormatting>
  <conditionalFormatting sqref="Q30:Q32">
    <cfRule type="cellIs" dxfId="122" priority="123" operator="equal">
      <formula>3</formula>
    </cfRule>
  </conditionalFormatting>
  <conditionalFormatting sqref="I30 K30 M30:N30">
    <cfRule type="cellIs" dxfId="121" priority="122" operator="equal">
      <formula>1</formula>
    </cfRule>
  </conditionalFormatting>
  <conditionalFormatting sqref="I30 K30 M30">
    <cfRule type="cellIs" dxfId="120" priority="121" operator="equal">
      <formula>2</formula>
    </cfRule>
  </conditionalFormatting>
  <conditionalFormatting sqref="I30 K30 M30">
    <cfRule type="cellIs" dxfId="119" priority="120" operator="equal">
      <formula>3</formula>
    </cfRule>
  </conditionalFormatting>
  <conditionalFormatting sqref="N30">
    <cfRule type="cellIs" dxfId="118" priority="119" operator="equal">
      <formula>2</formula>
    </cfRule>
  </conditionalFormatting>
  <conditionalFormatting sqref="N30">
    <cfRule type="cellIs" dxfId="117" priority="118" operator="equal">
      <formula>3</formula>
    </cfRule>
  </conditionalFormatting>
  <conditionalFormatting sqref="S31:AG32">
    <cfRule type="cellIs" dxfId="116" priority="117" operator="equal">
      <formula>"x"</formula>
    </cfRule>
  </conditionalFormatting>
  <conditionalFormatting sqref="P31:P32 I31:I32 K31:K32 M31:N32">
    <cfRule type="cellIs" dxfId="115" priority="116" operator="equal">
      <formula>1</formula>
    </cfRule>
  </conditionalFormatting>
  <conditionalFormatting sqref="P31:P32 I31:I32 K31:K32 M31:M32">
    <cfRule type="cellIs" dxfId="114" priority="115" operator="equal">
      <formula>2</formula>
    </cfRule>
  </conditionalFormatting>
  <conditionalFormatting sqref="P31:P32 I31:I32 K31:K32 M31:M32">
    <cfRule type="cellIs" dxfId="113" priority="114" operator="equal">
      <formula>3</formula>
    </cfRule>
  </conditionalFormatting>
  <conditionalFormatting sqref="N31:N32">
    <cfRule type="cellIs" dxfId="112" priority="113" operator="equal">
      <formula>2</formula>
    </cfRule>
  </conditionalFormatting>
  <conditionalFormatting sqref="N31:N32">
    <cfRule type="cellIs" dxfId="111" priority="112" operator="equal">
      <formula>3</formula>
    </cfRule>
  </conditionalFormatting>
  <conditionalFormatting sqref="S33:AG35 AG36">
    <cfRule type="cellIs" dxfId="110" priority="110" operator="equal">
      <formula>"x"</formula>
    </cfRule>
  </conditionalFormatting>
  <conditionalFormatting sqref="I35">
    <cfRule type="cellIs" dxfId="109" priority="111" operator="equal">
      <formula>1</formula>
    </cfRule>
  </conditionalFormatting>
  <conditionalFormatting sqref="I35">
    <cfRule type="cellIs" dxfId="108" priority="109" operator="equal">
      <formula>2</formula>
    </cfRule>
  </conditionalFormatting>
  <conditionalFormatting sqref="I35">
    <cfRule type="cellIs" dxfId="107" priority="108" operator="equal">
      <formula>3</formula>
    </cfRule>
  </conditionalFormatting>
  <conditionalFormatting sqref="I33 K33 M33:N33">
    <cfRule type="cellIs" dxfId="106" priority="107" operator="equal">
      <formula>1</formula>
    </cfRule>
  </conditionalFormatting>
  <conditionalFormatting sqref="I33 K33 M33 P33:Q33">
    <cfRule type="cellIs" dxfId="105" priority="106" operator="equal">
      <formula>2</formula>
    </cfRule>
  </conditionalFormatting>
  <conditionalFormatting sqref="I33 K33 M33 P33:Q33">
    <cfRule type="cellIs" dxfId="104" priority="105" operator="equal">
      <formula>3</formula>
    </cfRule>
  </conditionalFormatting>
  <conditionalFormatting sqref="N33">
    <cfRule type="cellIs" dxfId="103" priority="104" operator="equal">
      <formula>2</formula>
    </cfRule>
  </conditionalFormatting>
  <conditionalFormatting sqref="N33">
    <cfRule type="cellIs" dxfId="102" priority="103" operator="equal">
      <formula>3</formula>
    </cfRule>
  </conditionalFormatting>
  <conditionalFormatting sqref="I34 K34 M34:N34">
    <cfRule type="cellIs" dxfId="101" priority="102" operator="equal">
      <formula>1</formula>
    </cfRule>
  </conditionalFormatting>
  <conditionalFormatting sqref="I34 K34 M34 P34:Q34">
    <cfRule type="cellIs" dxfId="100" priority="101" operator="equal">
      <formula>2</formula>
    </cfRule>
  </conditionalFormatting>
  <conditionalFormatting sqref="I34 K34 M34 P34:Q34">
    <cfRule type="cellIs" dxfId="99" priority="100" operator="equal">
      <formula>3</formula>
    </cfRule>
  </conditionalFormatting>
  <conditionalFormatting sqref="N34">
    <cfRule type="cellIs" dxfId="98" priority="99" operator="equal">
      <formula>2</formula>
    </cfRule>
  </conditionalFormatting>
  <conditionalFormatting sqref="N34">
    <cfRule type="cellIs" dxfId="97" priority="98" operator="equal">
      <formula>3</formula>
    </cfRule>
  </conditionalFormatting>
  <conditionalFormatting sqref="K35 M35:N35">
    <cfRule type="cellIs" dxfId="96" priority="97" operator="equal">
      <formula>1</formula>
    </cfRule>
  </conditionalFormatting>
  <conditionalFormatting sqref="K35 M35 P35:Q35">
    <cfRule type="cellIs" dxfId="95" priority="96" operator="equal">
      <formula>2</formula>
    </cfRule>
  </conditionalFormatting>
  <conditionalFormatting sqref="K35 M35 P35:Q35">
    <cfRule type="cellIs" dxfId="94" priority="95" operator="equal">
      <formula>3</formula>
    </cfRule>
  </conditionalFormatting>
  <conditionalFormatting sqref="N35">
    <cfRule type="cellIs" dxfId="93" priority="94" operator="equal">
      <formula>2</formula>
    </cfRule>
  </conditionalFormatting>
  <conditionalFormatting sqref="N35">
    <cfRule type="cellIs" dxfId="92" priority="93" operator="equal">
      <formula>3</formula>
    </cfRule>
  </conditionalFormatting>
  <conditionalFormatting sqref="S36:AG36">
    <cfRule type="cellIs" dxfId="91" priority="92" operator="equal">
      <formula>"x"</formula>
    </cfRule>
  </conditionalFormatting>
  <conditionalFormatting sqref="I36 K36 M36:N36">
    <cfRule type="cellIs" dxfId="90" priority="91" operator="equal">
      <formula>1</formula>
    </cfRule>
  </conditionalFormatting>
  <conditionalFormatting sqref="I36 K36 M36 P36:Q36">
    <cfRule type="cellIs" dxfId="89" priority="90" operator="equal">
      <formula>2</formula>
    </cfRule>
  </conditionalFormatting>
  <conditionalFormatting sqref="I36 K36 M36 P36:Q36">
    <cfRule type="cellIs" dxfId="88" priority="89" operator="equal">
      <formula>3</formula>
    </cfRule>
  </conditionalFormatting>
  <conditionalFormatting sqref="N36">
    <cfRule type="cellIs" dxfId="87" priority="88" operator="equal">
      <formula>2</formula>
    </cfRule>
  </conditionalFormatting>
  <conditionalFormatting sqref="N36">
    <cfRule type="cellIs" dxfId="86" priority="87" operator="equal">
      <formula>3</formula>
    </cfRule>
  </conditionalFormatting>
  <conditionalFormatting sqref="S37:AG39">
    <cfRule type="cellIs" dxfId="85" priority="85" operator="equal">
      <formula>"x"</formula>
    </cfRule>
  </conditionalFormatting>
  <conditionalFormatting sqref="I37 K37 M37:N37">
    <cfRule type="cellIs" dxfId="84" priority="86" operator="equal">
      <formula>1</formula>
    </cfRule>
  </conditionalFormatting>
  <conditionalFormatting sqref="I37 K37 M37 P37:Q37">
    <cfRule type="cellIs" dxfId="83" priority="84" operator="equal">
      <formula>2</formula>
    </cfRule>
  </conditionalFormatting>
  <conditionalFormatting sqref="I37 K37 M37 P37:Q37">
    <cfRule type="cellIs" dxfId="82" priority="83" operator="equal">
      <formula>3</formula>
    </cfRule>
  </conditionalFormatting>
  <conditionalFormatting sqref="N37">
    <cfRule type="cellIs" dxfId="81" priority="82" operator="equal">
      <formula>2</formula>
    </cfRule>
  </conditionalFormatting>
  <conditionalFormatting sqref="N37">
    <cfRule type="cellIs" dxfId="80" priority="81" operator="equal">
      <formula>3</formula>
    </cfRule>
  </conditionalFormatting>
  <conditionalFormatting sqref="I38 K38 M38:N38">
    <cfRule type="cellIs" dxfId="79" priority="80" operator="equal">
      <formula>1</formula>
    </cfRule>
  </conditionalFormatting>
  <conditionalFormatting sqref="I38 K38 M38 P38:Q38">
    <cfRule type="cellIs" dxfId="78" priority="79" operator="equal">
      <formula>2</formula>
    </cfRule>
  </conditionalFormatting>
  <conditionalFormatting sqref="I38 K38 M38 P38:Q38">
    <cfRule type="cellIs" dxfId="77" priority="78" operator="equal">
      <formula>3</formula>
    </cfRule>
  </conditionalFormatting>
  <conditionalFormatting sqref="N38">
    <cfRule type="cellIs" dxfId="76" priority="77" operator="equal">
      <formula>2</formula>
    </cfRule>
  </conditionalFormatting>
  <conditionalFormatting sqref="N38">
    <cfRule type="cellIs" dxfId="75" priority="76" operator="equal">
      <formula>3</formula>
    </cfRule>
  </conditionalFormatting>
  <conditionalFormatting sqref="I39 K39 M39:N39">
    <cfRule type="cellIs" dxfId="74" priority="75" operator="equal">
      <formula>1</formula>
    </cfRule>
  </conditionalFormatting>
  <conditionalFormatting sqref="I39 K39 M39 P39:Q39">
    <cfRule type="cellIs" dxfId="73" priority="74" operator="equal">
      <formula>2</formula>
    </cfRule>
  </conditionalFormatting>
  <conditionalFormatting sqref="I39 K39 M39 P39:Q39">
    <cfRule type="cellIs" dxfId="72" priority="73" operator="equal">
      <formula>3</formula>
    </cfRule>
  </conditionalFormatting>
  <conditionalFormatting sqref="N39">
    <cfRule type="cellIs" dxfId="71" priority="72" operator="equal">
      <formula>2</formula>
    </cfRule>
  </conditionalFormatting>
  <conditionalFormatting sqref="N39">
    <cfRule type="cellIs" dxfId="70" priority="71" operator="equal">
      <formula>3</formula>
    </cfRule>
  </conditionalFormatting>
  <conditionalFormatting sqref="S40:AG40">
    <cfRule type="cellIs" dxfId="69" priority="70" operator="equal">
      <formula>"x"</formula>
    </cfRule>
  </conditionalFormatting>
  <conditionalFormatting sqref="I40 K40 M40:N40 Q41">
    <cfRule type="cellIs" dxfId="68" priority="69" operator="equal">
      <formula>1</formula>
    </cfRule>
  </conditionalFormatting>
  <conditionalFormatting sqref="P40 I40 K40 M40 Q40:Q41">
    <cfRule type="cellIs" dxfId="67" priority="68" operator="equal">
      <formula>2</formula>
    </cfRule>
  </conditionalFormatting>
  <conditionalFormatting sqref="P40 I40 K40 M40 Q40:Q41">
    <cfRule type="cellIs" dxfId="66" priority="67" operator="equal">
      <formula>3</formula>
    </cfRule>
  </conditionalFormatting>
  <conditionalFormatting sqref="N40">
    <cfRule type="cellIs" dxfId="65" priority="66" operator="equal">
      <formula>2</formula>
    </cfRule>
  </conditionalFormatting>
  <conditionalFormatting sqref="N40">
    <cfRule type="cellIs" dxfId="64" priority="65" operator="equal">
      <formula>3</formula>
    </cfRule>
  </conditionalFormatting>
  <conditionalFormatting sqref="S41:AG41">
    <cfRule type="cellIs" dxfId="63" priority="64" operator="equal">
      <formula>"x"</formula>
    </cfRule>
  </conditionalFormatting>
  <conditionalFormatting sqref="P41 I41 K41 M41:N41">
    <cfRule type="cellIs" dxfId="62" priority="63" operator="equal">
      <formula>1</formula>
    </cfRule>
  </conditionalFormatting>
  <conditionalFormatting sqref="P41 I41 K41 M41">
    <cfRule type="cellIs" dxfId="61" priority="62" operator="equal">
      <formula>2</formula>
    </cfRule>
  </conditionalFormatting>
  <conditionalFormatting sqref="P41 I41 K41 M41">
    <cfRule type="cellIs" dxfId="60" priority="61" operator="equal">
      <formula>3</formula>
    </cfRule>
  </conditionalFormatting>
  <conditionalFormatting sqref="N41">
    <cfRule type="cellIs" dxfId="59" priority="60" operator="equal">
      <formula>2</formula>
    </cfRule>
  </conditionalFormatting>
  <conditionalFormatting sqref="N41">
    <cfRule type="cellIs" dxfId="58" priority="59" operator="equal">
      <formula>3</formula>
    </cfRule>
  </conditionalFormatting>
  <conditionalFormatting sqref="S42:AG42">
    <cfRule type="cellIs" dxfId="57" priority="58" operator="equal">
      <formula>"x"</formula>
    </cfRule>
  </conditionalFormatting>
  <conditionalFormatting sqref="I42 K42 M42:N42">
    <cfRule type="cellIs" dxfId="56" priority="57" operator="equal">
      <formula>1</formula>
    </cfRule>
  </conditionalFormatting>
  <conditionalFormatting sqref="I42 K42 M42 P42:Q42">
    <cfRule type="cellIs" dxfId="55" priority="56" operator="equal">
      <formula>2</formula>
    </cfRule>
  </conditionalFormatting>
  <conditionalFormatting sqref="I42 K42 M42 P42:Q42">
    <cfRule type="cellIs" dxfId="54" priority="55" operator="equal">
      <formula>3</formula>
    </cfRule>
  </conditionalFormatting>
  <conditionalFormatting sqref="N42">
    <cfRule type="cellIs" dxfId="53" priority="54" operator="equal">
      <formula>2</formula>
    </cfRule>
  </conditionalFormatting>
  <conditionalFormatting sqref="N42">
    <cfRule type="cellIs" dxfId="52" priority="53" operator="equal">
      <formula>3</formula>
    </cfRule>
  </conditionalFormatting>
  <conditionalFormatting sqref="S43:AG43">
    <cfRule type="cellIs" dxfId="51" priority="52" operator="equal">
      <formula>"x"</formula>
    </cfRule>
  </conditionalFormatting>
  <conditionalFormatting sqref="I43 K43 M43:N43">
    <cfRule type="cellIs" dxfId="50" priority="51" operator="equal">
      <formula>1</formula>
    </cfRule>
  </conditionalFormatting>
  <conditionalFormatting sqref="I43 K43 M43 P43:Q43">
    <cfRule type="cellIs" dxfId="49" priority="50" operator="equal">
      <formula>2</formula>
    </cfRule>
  </conditionalFormatting>
  <conditionalFormatting sqref="I43 K43 M43 P43:Q43">
    <cfRule type="cellIs" dxfId="48" priority="49" operator="equal">
      <formula>3</formula>
    </cfRule>
  </conditionalFormatting>
  <conditionalFormatting sqref="N43">
    <cfRule type="cellIs" dxfId="47" priority="48" operator="equal">
      <formula>2</formula>
    </cfRule>
  </conditionalFormatting>
  <conditionalFormatting sqref="N43">
    <cfRule type="cellIs" dxfId="46" priority="47" operator="equal">
      <formula>3</formula>
    </cfRule>
  </conditionalFormatting>
  <conditionalFormatting sqref="S45:AG45">
    <cfRule type="cellIs" dxfId="45" priority="46" operator="equal">
      <formula>"x"</formula>
    </cfRule>
  </conditionalFormatting>
  <conditionalFormatting sqref="I45 K45 M45:N45">
    <cfRule type="cellIs" dxfId="44" priority="45" operator="equal">
      <formula>1</formula>
    </cfRule>
  </conditionalFormatting>
  <conditionalFormatting sqref="P45:Q45 I45 K45 M45">
    <cfRule type="cellIs" dxfId="43" priority="44" operator="equal">
      <formula>2</formula>
    </cfRule>
  </conditionalFormatting>
  <conditionalFormatting sqref="P45:Q45 I45 K45 M45">
    <cfRule type="cellIs" dxfId="42" priority="43" operator="equal">
      <formula>3</formula>
    </cfRule>
  </conditionalFormatting>
  <conditionalFormatting sqref="N45">
    <cfRule type="cellIs" dxfId="41" priority="42" operator="equal">
      <formula>2</formula>
    </cfRule>
  </conditionalFormatting>
  <conditionalFormatting sqref="N45">
    <cfRule type="cellIs" dxfId="40" priority="41" operator="equal">
      <formula>3</formula>
    </cfRule>
  </conditionalFormatting>
  <conditionalFormatting sqref="S44:AG44">
    <cfRule type="cellIs" dxfId="39" priority="40" operator="equal">
      <formula>"x"</formula>
    </cfRule>
  </conditionalFormatting>
  <conditionalFormatting sqref="P44:Q44 I44 K44 M44:N44">
    <cfRule type="cellIs" dxfId="38" priority="39" operator="equal">
      <formula>1</formula>
    </cfRule>
  </conditionalFormatting>
  <conditionalFormatting sqref="P44:Q44 I44 K44 M44">
    <cfRule type="cellIs" dxfId="37" priority="38" operator="equal">
      <formula>2</formula>
    </cfRule>
  </conditionalFormatting>
  <conditionalFormatting sqref="P44:Q44 I44 K44 M44">
    <cfRule type="cellIs" dxfId="36" priority="37" operator="equal">
      <formula>3</formula>
    </cfRule>
  </conditionalFormatting>
  <conditionalFormatting sqref="N44">
    <cfRule type="cellIs" dxfId="35" priority="36" operator="equal">
      <formula>2</formula>
    </cfRule>
  </conditionalFormatting>
  <conditionalFormatting sqref="N44">
    <cfRule type="cellIs" dxfId="34" priority="35" operator="equal">
      <formula>3</formula>
    </cfRule>
  </conditionalFormatting>
  <conditionalFormatting sqref="S46:AG46 AG47">
    <cfRule type="cellIs" dxfId="33" priority="33" operator="equal">
      <formula>"x"</formula>
    </cfRule>
  </conditionalFormatting>
  <conditionalFormatting sqref="K46 I46 M46:N46">
    <cfRule type="cellIs" dxfId="32" priority="34" operator="equal">
      <formula>1</formula>
    </cfRule>
  </conditionalFormatting>
  <conditionalFormatting sqref="K46 I46 M46 P46:Q46">
    <cfRule type="cellIs" dxfId="31" priority="32" operator="equal">
      <formula>2</formula>
    </cfRule>
  </conditionalFormatting>
  <conditionalFormatting sqref="K46 I46 M46 P46:Q46">
    <cfRule type="cellIs" dxfId="30" priority="31" operator="equal">
      <formula>3</formula>
    </cfRule>
  </conditionalFormatting>
  <conditionalFormatting sqref="N46">
    <cfRule type="cellIs" dxfId="29" priority="30" operator="equal">
      <formula>2</formula>
    </cfRule>
  </conditionalFormatting>
  <conditionalFormatting sqref="N46">
    <cfRule type="cellIs" dxfId="28" priority="29" operator="equal">
      <formula>3</formula>
    </cfRule>
  </conditionalFormatting>
  <conditionalFormatting sqref="S47:AG47">
    <cfRule type="cellIs" dxfId="27" priority="27" operator="equal">
      <formula>"x"</formula>
    </cfRule>
  </conditionalFormatting>
  <conditionalFormatting sqref="K47 I47 M47:N47">
    <cfRule type="cellIs" dxfId="26" priority="28" operator="equal">
      <formula>1</formula>
    </cfRule>
  </conditionalFormatting>
  <conditionalFormatting sqref="K47 I47 M47 P47:Q47">
    <cfRule type="cellIs" dxfId="25" priority="26" operator="equal">
      <formula>2</formula>
    </cfRule>
  </conditionalFormatting>
  <conditionalFormatting sqref="K47 I47 M47 P47:Q47">
    <cfRule type="cellIs" dxfId="24" priority="25" operator="equal">
      <formula>3</formula>
    </cfRule>
  </conditionalFormatting>
  <conditionalFormatting sqref="N47">
    <cfRule type="cellIs" dxfId="23" priority="24" operator="equal">
      <formula>2</formula>
    </cfRule>
  </conditionalFormatting>
  <conditionalFormatting sqref="N47">
    <cfRule type="cellIs" dxfId="22" priority="23" operator="equal">
      <formula>3</formula>
    </cfRule>
  </conditionalFormatting>
  <conditionalFormatting sqref="S48:AG48">
    <cfRule type="cellIs" dxfId="21" priority="21" operator="equal">
      <formula>"x"</formula>
    </cfRule>
  </conditionalFormatting>
  <conditionalFormatting sqref="K48 I48 M48:N48">
    <cfRule type="cellIs" dxfId="20" priority="22" operator="equal">
      <formula>1</formula>
    </cfRule>
  </conditionalFormatting>
  <conditionalFormatting sqref="M48 K48 I48 P48:Q48">
    <cfRule type="cellIs" dxfId="19" priority="20" operator="equal">
      <formula>2</formula>
    </cfRule>
  </conditionalFormatting>
  <conditionalFormatting sqref="M48 K48 I48 P48:Q48">
    <cfRule type="cellIs" dxfId="18" priority="19" operator="equal">
      <formula>3</formula>
    </cfRule>
  </conditionalFormatting>
  <conditionalFormatting sqref="N48">
    <cfRule type="cellIs" dxfId="17" priority="18" operator="equal">
      <formula>2</formula>
    </cfRule>
  </conditionalFormatting>
  <conditionalFormatting sqref="N48">
    <cfRule type="cellIs" dxfId="16" priority="17" operator="equal">
      <formula>3</formula>
    </cfRule>
  </conditionalFormatting>
  <conditionalFormatting sqref="S12">
    <cfRule type="containsBlanks" dxfId="15" priority="16">
      <formula>LEN(TRIM(S12))=0</formula>
    </cfRule>
  </conditionalFormatting>
  <conditionalFormatting sqref="S12">
    <cfRule type="cellIs" dxfId="14" priority="15" operator="equal">
      <formula>"x"</formula>
    </cfRule>
  </conditionalFormatting>
  <conditionalFormatting sqref="V12">
    <cfRule type="containsBlanks" dxfId="13" priority="14">
      <formula>LEN(TRIM(V12))=0</formula>
    </cfRule>
  </conditionalFormatting>
  <conditionalFormatting sqref="V12">
    <cfRule type="cellIs" dxfId="12" priority="13" operator="equal">
      <formula>"x"</formula>
    </cfRule>
  </conditionalFormatting>
  <conditionalFormatting sqref="W12">
    <cfRule type="containsBlanks" dxfId="11" priority="12">
      <formula>LEN(TRIM(W12))=0</formula>
    </cfRule>
  </conditionalFormatting>
  <conditionalFormatting sqref="W12">
    <cfRule type="cellIs" dxfId="10" priority="11" operator="equal">
      <formula>"x"</formula>
    </cfRule>
  </conditionalFormatting>
  <conditionalFormatting sqref="X12">
    <cfRule type="containsBlanks" dxfId="9" priority="10">
      <formula>LEN(TRIM(X12))=0</formula>
    </cfRule>
  </conditionalFormatting>
  <conditionalFormatting sqref="X12">
    <cfRule type="cellIs" dxfId="8" priority="9" operator="equal">
      <formula>"x"</formula>
    </cfRule>
  </conditionalFormatting>
  <conditionalFormatting sqref="Y30:Y34">
    <cfRule type="cellIs" dxfId="7" priority="8" operator="equal">
      <formula>"x"</formula>
    </cfRule>
  </conditionalFormatting>
  <conditionalFormatting sqref="Y31">
    <cfRule type="cellIs" dxfId="6" priority="7" operator="equal">
      <formula>"x"</formula>
    </cfRule>
  </conditionalFormatting>
  <conditionalFormatting sqref="Y32">
    <cfRule type="cellIs" dxfId="5" priority="6" operator="equal">
      <formula>"x"</formula>
    </cfRule>
  </conditionalFormatting>
  <conditionalFormatting sqref="P29 I29 K29 M29:N29">
    <cfRule type="cellIs" dxfId="4" priority="5" operator="equal">
      <formula>1</formula>
    </cfRule>
  </conditionalFormatting>
  <conditionalFormatting sqref="I29 K29 M29 P29">
    <cfRule type="cellIs" dxfId="3" priority="4" operator="equal">
      <formula>2</formula>
    </cfRule>
  </conditionalFormatting>
  <conditionalFormatting sqref="I29 K29 M29 P29">
    <cfRule type="cellIs" dxfId="2" priority="3" operator="equal">
      <formula>3</formula>
    </cfRule>
  </conditionalFormatting>
  <conditionalFormatting sqref="N29">
    <cfRule type="cellIs" dxfId="1" priority="2" operator="equal">
      <formula>2</formula>
    </cfRule>
  </conditionalFormatting>
  <conditionalFormatting sqref="N29">
    <cfRule type="cellIs" dxfId="0" priority="1" operator="equal">
      <formula>3</formula>
    </cfRule>
  </conditionalFormatting>
  <dataValidations count="1">
    <dataValidation type="list" allowBlank="1" showInputMessage="1" showErrorMessage="1" sqref="G1:G48" xr:uid="{289D8D7E-352B-406A-857E-898E8CB323EF}">
      <formula1>"Acoustic, Aerial, Photo-ID, Shore, Strandings, Tag, Vessel, Other"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1FEF6-3E5D-44EA-98F7-39012275B9F5}">
  <dimension ref="A1:Q445"/>
  <sheetViews>
    <sheetView zoomScale="80" zoomScaleNormal="80" workbookViewId="0">
      <pane ySplit="1" topLeftCell="A2" activePane="bottomLeft" state="frozen"/>
      <selection pane="bottomLeft" activeCell="C17" sqref="C17"/>
    </sheetView>
  </sheetViews>
  <sheetFormatPr defaultColWidth="8.5703125" defaultRowHeight="17.45" customHeight="1"/>
  <cols>
    <col min="1" max="1" width="33.42578125" bestFit="1" customWidth="1"/>
    <col min="2" max="2" width="26.7109375" bestFit="1" customWidth="1"/>
    <col min="3" max="3" width="76.42578125" bestFit="1" customWidth="1"/>
    <col min="4" max="4" width="12.7109375" customWidth="1"/>
    <col min="5" max="5" width="13.28515625" customWidth="1"/>
    <col min="6" max="6" width="12" customWidth="1"/>
    <col min="7" max="7" width="14" customWidth="1"/>
    <col min="8" max="8" width="24.140625" customWidth="1"/>
    <col min="9" max="9" width="14.42578125" customWidth="1"/>
    <col min="10" max="10" width="14.7109375" customWidth="1"/>
    <col min="11" max="11" width="15.5703125" customWidth="1"/>
    <col min="12" max="12" width="15.7109375" customWidth="1"/>
    <col min="13" max="13" width="16.42578125" customWidth="1"/>
    <col min="14" max="14" width="11.28515625" customWidth="1"/>
    <col min="15" max="15" width="10.7109375" customWidth="1"/>
    <col min="16" max="16" width="55.140625" bestFit="1" customWidth="1"/>
    <col min="17" max="17" width="9.140625" customWidth="1"/>
  </cols>
  <sheetData>
    <row r="1" spans="1:17" ht="60.75" thickBot="1">
      <c r="A1" s="1" t="s">
        <v>2</v>
      </c>
      <c r="B1" s="1" t="s">
        <v>215</v>
      </c>
      <c r="C1" s="1" t="s">
        <v>216</v>
      </c>
      <c r="D1" s="1" t="s">
        <v>217</v>
      </c>
      <c r="E1" s="1" t="s">
        <v>218</v>
      </c>
      <c r="F1" s="1" t="s">
        <v>219</v>
      </c>
      <c r="G1" s="1" t="s">
        <v>220</v>
      </c>
      <c r="H1" s="1" t="s">
        <v>221</v>
      </c>
      <c r="I1" s="1" t="s">
        <v>222</v>
      </c>
      <c r="J1" s="1" t="s">
        <v>223</v>
      </c>
      <c r="K1" s="1" t="s">
        <v>224</v>
      </c>
      <c r="L1" s="1" t="s">
        <v>225</v>
      </c>
      <c r="M1" s="1" t="s">
        <v>9</v>
      </c>
      <c r="N1" s="1" t="s">
        <v>226</v>
      </c>
      <c r="O1" s="1" t="s">
        <v>227</v>
      </c>
      <c r="P1" s="1" t="s">
        <v>228</v>
      </c>
      <c r="Q1" s="1" t="s">
        <v>229</v>
      </c>
    </row>
    <row r="2" spans="1:17" ht="17.45" customHeight="1">
      <c r="A2" s="3" t="s">
        <v>35</v>
      </c>
      <c r="B2" s="3" t="s">
        <v>230</v>
      </c>
      <c r="C2" s="3" t="s">
        <v>231</v>
      </c>
      <c r="D2" s="4">
        <v>53651</v>
      </c>
      <c r="E2" s="3">
        <v>177</v>
      </c>
      <c r="F2" s="3">
        <f t="shared" ref="F2:F46" si="0">E2/D2</f>
        <v>3.2990997371903598E-3</v>
      </c>
      <c r="G2" s="3">
        <v>0.86</v>
      </c>
      <c r="H2" s="3" t="s">
        <v>232</v>
      </c>
      <c r="I2" s="3" t="s">
        <v>233</v>
      </c>
      <c r="J2" s="3" t="s">
        <v>233</v>
      </c>
      <c r="K2" s="3" t="s">
        <v>233</v>
      </c>
      <c r="L2" s="3" t="s">
        <v>233</v>
      </c>
      <c r="M2" s="3" t="s">
        <v>48</v>
      </c>
      <c r="N2" s="3">
        <v>2004</v>
      </c>
      <c r="O2" s="3">
        <v>2004</v>
      </c>
      <c r="P2" s="3" t="s">
        <v>234</v>
      </c>
      <c r="Q2" s="3">
        <v>1</v>
      </c>
    </row>
    <row r="3" spans="1:17" ht="17.45" customHeight="1">
      <c r="A3" s="3" t="s">
        <v>35</v>
      </c>
      <c r="B3" s="3" t="s">
        <v>230</v>
      </c>
      <c r="C3" s="3" t="s">
        <v>235</v>
      </c>
      <c r="D3" s="4">
        <v>9862</v>
      </c>
      <c r="E3" s="3">
        <v>192</v>
      </c>
      <c r="F3" s="3">
        <f t="shared" si="0"/>
        <v>1.946866761306023E-2</v>
      </c>
      <c r="G3" s="3">
        <v>0.02</v>
      </c>
      <c r="H3" s="3" t="s">
        <v>232</v>
      </c>
      <c r="I3" s="3" t="s">
        <v>233</v>
      </c>
      <c r="J3" s="3" t="s">
        <v>233</v>
      </c>
      <c r="K3" s="3" t="s">
        <v>233</v>
      </c>
      <c r="L3" s="3" t="s">
        <v>233</v>
      </c>
      <c r="M3" s="3" t="s">
        <v>97</v>
      </c>
      <c r="N3" s="3">
        <v>1999</v>
      </c>
      <c r="O3" s="3">
        <v>1999</v>
      </c>
      <c r="P3" s="3" t="s">
        <v>236</v>
      </c>
      <c r="Q3" s="3">
        <v>1</v>
      </c>
    </row>
    <row r="4" spans="1:17" ht="17.45" customHeight="1">
      <c r="A4" s="3" t="s">
        <v>35</v>
      </c>
      <c r="B4" s="3" t="s">
        <v>230</v>
      </c>
      <c r="C4" s="3" t="s">
        <v>237</v>
      </c>
      <c r="D4" s="4">
        <v>24504</v>
      </c>
      <c r="E4" s="3">
        <v>172</v>
      </c>
      <c r="F4" s="3">
        <f t="shared" si="0"/>
        <v>7.0192621612797908E-3</v>
      </c>
      <c r="G4" s="3">
        <v>0.98</v>
      </c>
      <c r="H4" s="3" t="s">
        <v>232</v>
      </c>
      <c r="I4" s="3" t="s">
        <v>233</v>
      </c>
      <c r="J4" s="3" t="s">
        <v>233</v>
      </c>
      <c r="K4" s="3" t="s">
        <v>233</v>
      </c>
      <c r="L4" s="3" t="s">
        <v>233</v>
      </c>
      <c r="M4" s="3" t="s">
        <v>48</v>
      </c>
      <c r="N4" s="3">
        <v>2002</v>
      </c>
      <c r="O4" s="3">
        <v>2002</v>
      </c>
      <c r="P4" s="3" t="s">
        <v>238</v>
      </c>
      <c r="Q4" s="3">
        <v>1</v>
      </c>
    </row>
    <row r="5" spans="1:17" ht="17.45" customHeight="1">
      <c r="A5" s="3" t="s">
        <v>35</v>
      </c>
      <c r="B5" s="3" t="s">
        <v>230</v>
      </c>
      <c r="C5" s="3" t="s">
        <v>239</v>
      </c>
      <c r="D5" s="4">
        <v>24504</v>
      </c>
      <c r="E5" s="3">
        <v>190</v>
      </c>
      <c r="F5" s="3">
        <f t="shared" si="0"/>
        <v>7.7538361083904668E-3</v>
      </c>
      <c r="G5" s="3">
        <v>0.99</v>
      </c>
      <c r="H5" s="3" t="s">
        <v>232</v>
      </c>
      <c r="I5" s="3" t="s">
        <v>233</v>
      </c>
      <c r="J5" s="3" t="s">
        <v>233</v>
      </c>
      <c r="K5" s="3" t="s">
        <v>233</v>
      </c>
      <c r="L5" s="3" t="s">
        <v>233</v>
      </c>
      <c r="M5" s="3" t="s">
        <v>48</v>
      </c>
      <c r="N5" s="3">
        <v>2004</v>
      </c>
      <c r="O5" s="3">
        <v>2004</v>
      </c>
      <c r="P5" s="3" t="s">
        <v>234</v>
      </c>
      <c r="Q5" s="3">
        <v>1</v>
      </c>
    </row>
    <row r="6" spans="1:17" ht="17.45" customHeight="1">
      <c r="A6" s="3" t="s">
        <v>44</v>
      </c>
      <c r="B6" t="s">
        <v>240</v>
      </c>
      <c r="C6" t="s">
        <v>241</v>
      </c>
      <c r="D6" s="4">
        <v>9419</v>
      </c>
      <c r="E6" s="9">
        <v>35043</v>
      </c>
      <c r="F6">
        <f t="shared" si="0"/>
        <v>3.7204586474147998</v>
      </c>
      <c r="G6" s="10">
        <v>0.42</v>
      </c>
      <c r="H6" s="3" t="s">
        <v>232</v>
      </c>
      <c r="I6" s="11">
        <v>14188</v>
      </c>
      <c r="J6" s="11">
        <v>86553</v>
      </c>
      <c r="K6" s="12">
        <f>I6/D6</f>
        <v>1.5063170187918038</v>
      </c>
      <c r="L6" s="12">
        <f>J6/D6</f>
        <v>9.1891920586049469</v>
      </c>
      <c r="M6" s="3" t="s">
        <v>48</v>
      </c>
      <c r="N6">
        <v>2013</v>
      </c>
      <c r="O6">
        <v>2013</v>
      </c>
      <c r="P6" t="s">
        <v>242</v>
      </c>
      <c r="Q6">
        <v>1</v>
      </c>
    </row>
    <row r="7" spans="1:17" ht="17.45" customHeight="1">
      <c r="A7" s="3" t="s">
        <v>44</v>
      </c>
      <c r="B7" t="s">
        <v>240</v>
      </c>
      <c r="C7" t="s">
        <v>243</v>
      </c>
      <c r="D7" s="4">
        <v>8459</v>
      </c>
      <c r="E7" s="9">
        <v>10489</v>
      </c>
      <c r="F7">
        <f t="shared" si="0"/>
        <v>1.2399810852346613</v>
      </c>
      <c r="G7" s="10">
        <v>0.24</v>
      </c>
      <c r="H7" s="3" t="s">
        <v>232</v>
      </c>
      <c r="I7" s="11">
        <v>6342</v>
      </c>
      <c r="J7" s="11">
        <v>17347</v>
      </c>
      <c r="K7" s="12">
        <f>I7/D7</f>
        <v>0.74973401111242466</v>
      </c>
      <c r="L7" s="12">
        <f>J7/D7</f>
        <v>2.0507152145643692</v>
      </c>
      <c r="M7" s="3" t="s">
        <v>48</v>
      </c>
      <c r="N7">
        <v>2013</v>
      </c>
      <c r="O7">
        <v>2013</v>
      </c>
      <c r="P7" t="s">
        <v>242</v>
      </c>
      <c r="Q7">
        <v>1</v>
      </c>
    </row>
    <row r="8" spans="1:17" ht="17.45" customHeight="1">
      <c r="A8" t="s">
        <v>50</v>
      </c>
      <c r="B8" t="s">
        <v>240</v>
      </c>
      <c r="C8" t="s">
        <v>244</v>
      </c>
      <c r="D8">
        <v>21032</v>
      </c>
      <c r="E8" s="9">
        <v>12485</v>
      </c>
      <c r="F8">
        <f t="shared" si="0"/>
        <v>0.59361924686192469</v>
      </c>
      <c r="G8">
        <v>0.26</v>
      </c>
      <c r="H8" t="s">
        <v>232</v>
      </c>
      <c r="I8">
        <v>7515</v>
      </c>
      <c r="J8">
        <v>20743</v>
      </c>
      <c r="K8" s="12">
        <f>I8/D8</f>
        <v>0.35731266641308485</v>
      </c>
      <c r="L8" s="12">
        <f>J8/D8</f>
        <v>0.98625903385317615</v>
      </c>
      <c r="M8" s="3" t="s">
        <v>48</v>
      </c>
      <c r="N8">
        <v>2011</v>
      </c>
      <c r="O8">
        <v>2011</v>
      </c>
      <c r="P8" t="s">
        <v>245</v>
      </c>
      <c r="Q8">
        <v>1</v>
      </c>
    </row>
    <row r="9" spans="1:17" ht="17.45" customHeight="1">
      <c r="A9" s="24" t="s">
        <v>53</v>
      </c>
      <c r="B9" t="s">
        <v>240</v>
      </c>
      <c r="C9" t="s">
        <v>246</v>
      </c>
      <c r="D9">
        <v>8159</v>
      </c>
      <c r="E9">
        <v>18049</v>
      </c>
      <c r="F9">
        <f t="shared" si="0"/>
        <v>2.2121583527393063</v>
      </c>
      <c r="G9">
        <v>0.23</v>
      </c>
      <c r="H9" t="s">
        <v>232</v>
      </c>
      <c r="I9">
        <v>11613</v>
      </c>
      <c r="J9">
        <v>28053</v>
      </c>
      <c r="K9" s="12">
        <f>I9/D9</f>
        <v>1.4233361931609265</v>
      </c>
      <c r="L9" s="12">
        <f>J9/D9</f>
        <v>3.4382890060056379</v>
      </c>
      <c r="M9" s="3" t="s">
        <v>48</v>
      </c>
      <c r="N9">
        <v>2010</v>
      </c>
      <c r="O9">
        <v>2010</v>
      </c>
      <c r="P9" t="s">
        <v>247</v>
      </c>
      <c r="Q9">
        <v>1</v>
      </c>
    </row>
    <row r="10" spans="1:17" ht="17.45" customHeight="1">
      <c r="A10" s="24" t="s">
        <v>55</v>
      </c>
      <c r="B10" t="s">
        <v>240</v>
      </c>
      <c r="C10" t="s">
        <v>248</v>
      </c>
      <c r="D10">
        <v>2376</v>
      </c>
      <c r="E10">
        <v>6444</v>
      </c>
      <c r="F10">
        <f t="shared" si="0"/>
        <v>2.7121212121212119</v>
      </c>
      <c r="G10">
        <v>0.51</v>
      </c>
      <c r="H10" t="s">
        <v>232</v>
      </c>
      <c r="I10" s="9" t="s">
        <v>249</v>
      </c>
      <c r="J10" s="9" t="s">
        <v>249</v>
      </c>
      <c r="K10" s="9" t="s">
        <v>249</v>
      </c>
      <c r="L10" s="9" t="s">
        <v>249</v>
      </c>
      <c r="M10" s="3" t="s">
        <v>48</v>
      </c>
      <c r="N10">
        <v>2008</v>
      </c>
      <c r="O10">
        <v>2008</v>
      </c>
      <c r="P10" t="s">
        <v>250</v>
      </c>
      <c r="Q10">
        <v>1</v>
      </c>
    </row>
    <row r="11" spans="1:17" ht="17.45" customHeight="1">
      <c r="A11" s="24" t="s">
        <v>55</v>
      </c>
      <c r="B11" t="s">
        <v>240</v>
      </c>
      <c r="C11" t="s">
        <v>251</v>
      </c>
      <c r="D11">
        <v>1511</v>
      </c>
      <c r="E11">
        <v>1064</v>
      </c>
      <c r="F11">
        <f t="shared" si="0"/>
        <v>0.70416942422236928</v>
      </c>
      <c r="G11">
        <v>0.45</v>
      </c>
      <c r="H11" t="s">
        <v>232</v>
      </c>
      <c r="I11" s="9" t="s">
        <v>249</v>
      </c>
      <c r="J11" s="9" t="s">
        <v>249</v>
      </c>
      <c r="K11" s="9" t="s">
        <v>249</v>
      </c>
      <c r="L11" s="9" t="s">
        <v>249</v>
      </c>
      <c r="M11" s="3" t="s">
        <v>48</v>
      </c>
      <c r="N11">
        <v>2008</v>
      </c>
      <c r="O11">
        <v>2008</v>
      </c>
      <c r="P11" t="s">
        <v>250</v>
      </c>
      <c r="Q11">
        <v>1</v>
      </c>
    </row>
    <row r="12" spans="1:17" ht="17.45" customHeight="1">
      <c r="A12" s="24" t="s">
        <v>55</v>
      </c>
      <c r="B12" t="s">
        <v>240</v>
      </c>
      <c r="C12" t="s">
        <v>252</v>
      </c>
      <c r="D12">
        <v>586</v>
      </c>
      <c r="E12">
        <v>772</v>
      </c>
      <c r="F12">
        <f t="shared" si="0"/>
        <v>1.31740614334471</v>
      </c>
      <c r="G12">
        <v>0.41</v>
      </c>
      <c r="H12" t="s">
        <v>232</v>
      </c>
      <c r="I12" s="9" t="s">
        <v>249</v>
      </c>
      <c r="J12" s="9" t="s">
        <v>249</v>
      </c>
      <c r="K12" s="9" t="s">
        <v>249</v>
      </c>
      <c r="L12" s="9" t="s">
        <v>249</v>
      </c>
      <c r="M12" s="3" t="s">
        <v>48</v>
      </c>
      <c r="N12">
        <v>2008</v>
      </c>
      <c r="O12">
        <v>2008</v>
      </c>
      <c r="P12" t="s">
        <v>250</v>
      </c>
      <c r="Q12">
        <v>1</v>
      </c>
    </row>
    <row r="13" spans="1:17" ht="17.45" customHeight="1">
      <c r="A13" s="24" t="s">
        <v>55</v>
      </c>
      <c r="B13" t="s">
        <v>240</v>
      </c>
      <c r="C13" t="s">
        <v>253</v>
      </c>
      <c r="D13">
        <v>4849</v>
      </c>
      <c r="E13">
        <v>103</v>
      </c>
      <c r="F13">
        <f t="shared" si="0"/>
        <v>2.1241493091359042E-2</v>
      </c>
      <c r="G13">
        <v>1.01</v>
      </c>
      <c r="H13" t="s">
        <v>232</v>
      </c>
      <c r="I13" s="9" t="s">
        <v>249</v>
      </c>
      <c r="J13" s="9" t="s">
        <v>249</v>
      </c>
      <c r="K13" s="9" t="s">
        <v>249</v>
      </c>
      <c r="L13" s="9" t="s">
        <v>249</v>
      </c>
      <c r="M13" s="3" t="s">
        <v>48</v>
      </c>
      <c r="N13">
        <v>2008</v>
      </c>
      <c r="O13">
        <v>2008</v>
      </c>
      <c r="P13" t="s">
        <v>250</v>
      </c>
      <c r="Q13">
        <v>1</v>
      </c>
    </row>
    <row r="14" spans="1:17" ht="17.45" customHeight="1">
      <c r="A14" s="24" t="s">
        <v>55</v>
      </c>
      <c r="B14" t="s">
        <v>240</v>
      </c>
      <c r="C14" t="s">
        <v>254</v>
      </c>
      <c r="D14">
        <v>672</v>
      </c>
      <c r="E14">
        <v>1243</v>
      </c>
      <c r="F14">
        <f t="shared" si="0"/>
        <v>1.8497023809523809</v>
      </c>
      <c r="G14">
        <v>0.87</v>
      </c>
      <c r="H14" t="s">
        <v>232</v>
      </c>
      <c r="I14" s="9" t="s">
        <v>249</v>
      </c>
      <c r="J14" s="9" t="s">
        <v>249</v>
      </c>
      <c r="K14" s="9" t="s">
        <v>249</v>
      </c>
      <c r="L14" s="9" t="s">
        <v>249</v>
      </c>
      <c r="M14" s="3" t="s">
        <v>48</v>
      </c>
      <c r="N14">
        <v>2008</v>
      </c>
      <c r="O14">
        <v>2008</v>
      </c>
      <c r="P14" t="s">
        <v>250</v>
      </c>
      <c r="Q14">
        <v>1</v>
      </c>
    </row>
    <row r="15" spans="1:17" ht="17.45" customHeight="1">
      <c r="A15" s="24" t="s">
        <v>55</v>
      </c>
      <c r="B15" t="s">
        <v>240</v>
      </c>
      <c r="C15" t="s">
        <v>255</v>
      </c>
      <c r="D15">
        <v>303</v>
      </c>
      <c r="E15">
        <v>153</v>
      </c>
      <c r="F15">
        <f t="shared" si="0"/>
        <v>0.50495049504950495</v>
      </c>
      <c r="G15">
        <v>1.1499999999999999</v>
      </c>
      <c r="H15" t="s">
        <v>232</v>
      </c>
      <c r="I15" s="9" t="s">
        <v>249</v>
      </c>
      <c r="J15" s="9" t="s">
        <v>249</v>
      </c>
      <c r="K15" s="9" t="s">
        <v>249</v>
      </c>
      <c r="L15" s="9" t="s">
        <v>249</v>
      </c>
      <c r="M15" s="3" t="s">
        <v>48</v>
      </c>
      <c r="N15">
        <v>2008</v>
      </c>
      <c r="O15">
        <v>2008</v>
      </c>
      <c r="P15" t="s">
        <v>250</v>
      </c>
      <c r="Q15">
        <v>1</v>
      </c>
    </row>
    <row r="16" spans="1:17" ht="17.45" customHeight="1">
      <c r="A16" s="24" t="s">
        <v>55</v>
      </c>
      <c r="B16" t="s">
        <v>240</v>
      </c>
      <c r="C16" t="s">
        <v>256</v>
      </c>
      <c r="D16">
        <v>1330</v>
      </c>
      <c r="E16">
        <v>2699</v>
      </c>
      <c r="F16">
        <f t="shared" si="0"/>
        <v>2.0293233082706768</v>
      </c>
      <c r="G16">
        <v>1.04</v>
      </c>
      <c r="H16" t="s">
        <v>232</v>
      </c>
      <c r="I16" s="9" t="s">
        <v>249</v>
      </c>
      <c r="J16" s="9" t="s">
        <v>249</v>
      </c>
      <c r="K16" s="9" t="s">
        <v>249</v>
      </c>
      <c r="L16" s="9" t="s">
        <v>249</v>
      </c>
      <c r="M16" s="3" t="s">
        <v>48</v>
      </c>
      <c r="N16">
        <v>2008</v>
      </c>
      <c r="O16">
        <v>2008</v>
      </c>
      <c r="P16" t="s">
        <v>250</v>
      </c>
      <c r="Q16">
        <v>1</v>
      </c>
    </row>
    <row r="17" spans="1:17" ht="17.45" customHeight="1">
      <c r="A17" s="24" t="s">
        <v>55</v>
      </c>
      <c r="B17" t="s">
        <v>240</v>
      </c>
      <c r="C17" t="s">
        <v>257</v>
      </c>
      <c r="D17">
        <v>1259</v>
      </c>
      <c r="E17">
        <v>142</v>
      </c>
      <c r="F17">
        <f t="shared" si="0"/>
        <v>0.11278792692613185</v>
      </c>
      <c r="G17">
        <v>0.78</v>
      </c>
      <c r="H17" t="s">
        <v>232</v>
      </c>
      <c r="I17" s="9" t="s">
        <v>249</v>
      </c>
      <c r="J17" s="9" t="s">
        <v>249</v>
      </c>
      <c r="K17" s="9" t="s">
        <v>249</v>
      </c>
      <c r="L17" s="9" t="s">
        <v>249</v>
      </c>
      <c r="M17" s="3" t="s">
        <v>48</v>
      </c>
      <c r="N17">
        <v>2008</v>
      </c>
      <c r="O17">
        <v>2008</v>
      </c>
      <c r="P17" t="s">
        <v>250</v>
      </c>
      <c r="Q17">
        <v>1</v>
      </c>
    </row>
    <row r="18" spans="1:17" ht="17.45" customHeight="1">
      <c r="A18" s="24" t="s">
        <v>55</v>
      </c>
      <c r="B18" t="s">
        <v>240</v>
      </c>
      <c r="C18" t="s">
        <v>258</v>
      </c>
      <c r="D18">
        <v>175</v>
      </c>
      <c r="E18">
        <v>269</v>
      </c>
      <c r="F18">
        <f t="shared" si="0"/>
        <v>1.5371428571428571</v>
      </c>
      <c r="G18">
        <v>0.79</v>
      </c>
      <c r="H18" t="s">
        <v>232</v>
      </c>
      <c r="I18" s="9" t="s">
        <v>249</v>
      </c>
      <c r="J18" s="9" t="s">
        <v>249</v>
      </c>
      <c r="K18" s="9" t="s">
        <v>249</v>
      </c>
      <c r="L18" s="9" t="s">
        <v>249</v>
      </c>
      <c r="M18" s="3" t="s">
        <v>48</v>
      </c>
      <c r="N18">
        <v>2008</v>
      </c>
      <c r="O18">
        <v>2008</v>
      </c>
      <c r="P18" t="s">
        <v>250</v>
      </c>
      <c r="Q18">
        <v>1</v>
      </c>
    </row>
    <row r="19" spans="1:17" ht="17.45" customHeight="1">
      <c r="A19" s="24" t="s">
        <v>55</v>
      </c>
      <c r="B19" t="s">
        <v>240</v>
      </c>
      <c r="C19" t="s">
        <v>259</v>
      </c>
      <c r="D19">
        <v>65</v>
      </c>
      <c r="E19">
        <v>0</v>
      </c>
      <c r="F19">
        <f t="shared" si="0"/>
        <v>0</v>
      </c>
      <c r="G19">
        <v>0</v>
      </c>
      <c r="H19" t="s">
        <v>232</v>
      </c>
      <c r="I19" s="9" t="s">
        <v>249</v>
      </c>
      <c r="J19" s="9" t="s">
        <v>249</v>
      </c>
      <c r="K19" s="9" t="s">
        <v>249</v>
      </c>
      <c r="L19" s="9" t="s">
        <v>249</v>
      </c>
      <c r="M19" s="3" t="s">
        <v>48</v>
      </c>
      <c r="N19">
        <v>2007</v>
      </c>
      <c r="O19">
        <v>2007</v>
      </c>
      <c r="P19" t="s">
        <v>260</v>
      </c>
      <c r="Q19">
        <v>1</v>
      </c>
    </row>
    <row r="20" spans="1:17" ht="17.45" customHeight="1">
      <c r="A20" s="24" t="s">
        <v>55</v>
      </c>
      <c r="B20" t="s">
        <v>240</v>
      </c>
      <c r="C20" s="13" t="s">
        <v>261</v>
      </c>
      <c r="D20">
        <v>2546</v>
      </c>
      <c r="E20">
        <v>8368</v>
      </c>
      <c r="F20">
        <f t="shared" si="0"/>
        <v>3.286724273369992</v>
      </c>
      <c r="G20">
        <v>0.25</v>
      </c>
      <c r="H20" t="s">
        <v>232</v>
      </c>
      <c r="I20" s="9" t="s">
        <v>249</v>
      </c>
      <c r="J20" s="9" t="s">
        <v>249</v>
      </c>
      <c r="K20" s="9" t="s">
        <v>249</v>
      </c>
      <c r="L20" s="9" t="s">
        <v>249</v>
      </c>
      <c r="M20" s="3" t="s">
        <v>48</v>
      </c>
      <c r="N20">
        <v>2007</v>
      </c>
      <c r="O20">
        <v>2007</v>
      </c>
      <c r="P20" t="s">
        <v>260</v>
      </c>
      <c r="Q20">
        <v>1</v>
      </c>
    </row>
    <row r="21" spans="1:17" ht="17.45" customHeight="1">
      <c r="A21" s="24" t="s">
        <v>55</v>
      </c>
      <c r="B21" t="s">
        <v>240</v>
      </c>
      <c r="C21" t="s">
        <v>262</v>
      </c>
      <c r="D21">
        <v>85</v>
      </c>
      <c r="E21">
        <v>11</v>
      </c>
      <c r="F21">
        <f t="shared" si="0"/>
        <v>0.12941176470588237</v>
      </c>
      <c r="G21">
        <v>1.01</v>
      </c>
      <c r="H21" t="s">
        <v>232</v>
      </c>
      <c r="I21" s="9" t="s">
        <v>249</v>
      </c>
      <c r="J21" s="9" t="s">
        <v>249</v>
      </c>
      <c r="K21" s="9" t="s">
        <v>249</v>
      </c>
      <c r="L21" s="9" t="s">
        <v>249</v>
      </c>
      <c r="M21" s="3" t="s">
        <v>48</v>
      </c>
      <c r="N21">
        <v>2007</v>
      </c>
      <c r="O21">
        <v>2007</v>
      </c>
      <c r="P21" t="s">
        <v>260</v>
      </c>
      <c r="Q21">
        <v>1</v>
      </c>
    </row>
    <row r="22" spans="1:17" ht="17.45" customHeight="1">
      <c r="A22" s="24" t="s">
        <v>55</v>
      </c>
      <c r="B22" t="s">
        <v>240</v>
      </c>
      <c r="C22" t="s">
        <v>263</v>
      </c>
      <c r="D22">
        <v>1478</v>
      </c>
      <c r="E22">
        <v>7033</v>
      </c>
      <c r="F22">
        <f t="shared" si="0"/>
        <v>4.7584573748308525</v>
      </c>
      <c r="G22">
        <v>0.27</v>
      </c>
      <c r="H22" t="s">
        <v>232</v>
      </c>
      <c r="I22" s="9" t="s">
        <v>249</v>
      </c>
      <c r="J22" s="9" t="s">
        <v>249</v>
      </c>
      <c r="K22" s="9" t="s">
        <v>249</v>
      </c>
      <c r="L22" s="9" t="s">
        <v>249</v>
      </c>
      <c r="M22" s="3" t="s">
        <v>48</v>
      </c>
      <c r="N22">
        <v>2007</v>
      </c>
      <c r="O22">
        <v>2007</v>
      </c>
      <c r="P22" t="s">
        <v>260</v>
      </c>
      <c r="Q22">
        <v>1</v>
      </c>
    </row>
    <row r="23" spans="1:17" ht="17.45" customHeight="1">
      <c r="A23" s="24" t="s">
        <v>55</v>
      </c>
      <c r="B23" t="s">
        <v>240</v>
      </c>
      <c r="C23" t="s">
        <v>264</v>
      </c>
      <c r="D23">
        <v>918</v>
      </c>
      <c r="E23">
        <v>1325</v>
      </c>
      <c r="F23">
        <f t="shared" si="0"/>
        <v>1.443355119825708</v>
      </c>
      <c r="G23">
        <v>0.51</v>
      </c>
      <c r="H23" t="s">
        <v>232</v>
      </c>
      <c r="I23" s="9" t="s">
        <v>249</v>
      </c>
      <c r="J23" s="9" t="s">
        <v>249</v>
      </c>
      <c r="K23" s="9" t="s">
        <v>249</v>
      </c>
      <c r="L23" s="9" t="s">
        <v>249</v>
      </c>
      <c r="M23" s="3" t="s">
        <v>48</v>
      </c>
      <c r="N23">
        <v>2007</v>
      </c>
      <c r="O23">
        <v>2007</v>
      </c>
      <c r="P23" t="s">
        <v>260</v>
      </c>
      <c r="Q23">
        <v>1</v>
      </c>
    </row>
    <row r="24" spans="1:17" ht="17.45" customHeight="1">
      <c r="A24" s="24" t="s">
        <v>55</v>
      </c>
      <c r="B24" t="s">
        <v>240</v>
      </c>
      <c r="C24" t="s">
        <v>265</v>
      </c>
      <c r="D24">
        <v>18908</v>
      </c>
      <c r="E24">
        <v>14392</v>
      </c>
      <c r="F24">
        <f t="shared" si="0"/>
        <v>0.76115929765178758</v>
      </c>
      <c r="G24">
        <v>0.39</v>
      </c>
      <c r="H24" t="s">
        <v>232</v>
      </c>
      <c r="I24" s="9" t="s">
        <v>249</v>
      </c>
      <c r="J24" s="9" t="s">
        <v>249</v>
      </c>
      <c r="K24" s="9" t="s">
        <v>249</v>
      </c>
      <c r="L24" s="9" t="s">
        <v>249</v>
      </c>
      <c r="M24" s="3" t="s">
        <v>48</v>
      </c>
      <c r="N24">
        <v>2007</v>
      </c>
      <c r="O24">
        <v>2007</v>
      </c>
      <c r="P24" t="s">
        <v>260</v>
      </c>
      <c r="Q24">
        <v>1</v>
      </c>
    </row>
    <row r="25" spans="1:17" ht="17.45" customHeight="1">
      <c r="A25" s="24" t="s">
        <v>55</v>
      </c>
      <c r="B25" t="s">
        <v>240</v>
      </c>
      <c r="C25" t="s">
        <v>266</v>
      </c>
      <c r="D25">
        <v>16362</v>
      </c>
      <c r="E25">
        <v>6024</v>
      </c>
      <c r="F25">
        <f t="shared" si="0"/>
        <v>0.3681701503483682</v>
      </c>
      <c r="G25">
        <v>0.86</v>
      </c>
      <c r="H25" t="s">
        <v>232</v>
      </c>
      <c r="I25" s="9" t="s">
        <v>249</v>
      </c>
      <c r="J25" s="9" t="s">
        <v>249</v>
      </c>
      <c r="K25" s="9" t="s">
        <v>249</v>
      </c>
      <c r="L25" s="9" t="s">
        <v>249</v>
      </c>
      <c r="M25" s="3" t="s">
        <v>48</v>
      </c>
      <c r="N25">
        <v>2007</v>
      </c>
      <c r="O25">
        <v>2007</v>
      </c>
      <c r="P25" t="s">
        <v>267</v>
      </c>
      <c r="Q25">
        <v>1</v>
      </c>
    </row>
    <row r="26" spans="1:17" ht="17.45" customHeight="1">
      <c r="A26" s="24" t="s">
        <v>55</v>
      </c>
      <c r="B26" t="s">
        <v>240</v>
      </c>
      <c r="C26" t="s">
        <v>268</v>
      </c>
      <c r="D26">
        <v>2133</v>
      </c>
      <c r="E26">
        <v>501</v>
      </c>
      <c r="F26">
        <f t="shared" si="0"/>
        <v>0.23488045007032349</v>
      </c>
      <c r="G26">
        <v>0.76</v>
      </c>
      <c r="H26" t="s">
        <v>232</v>
      </c>
      <c r="I26" s="9" t="s">
        <v>249</v>
      </c>
      <c r="J26" s="9" t="s">
        <v>249</v>
      </c>
      <c r="K26" s="9" t="s">
        <v>249</v>
      </c>
      <c r="L26" s="9" t="s">
        <v>249</v>
      </c>
      <c r="M26" s="3" t="s">
        <v>48</v>
      </c>
      <c r="N26">
        <v>2007</v>
      </c>
      <c r="O26">
        <v>2007</v>
      </c>
      <c r="P26" t="s">
        <v>267</v>
      </c>
      <c r="Q26">
        <v>1</v>
      </c>
    </row>
    <row r="27" spans="1:17" ht="17.45" customHeight="1">
      <c r="A27" s="24" t="s">
        <v>55</v>
      </c>
      <c r="B27" t="s">
        <v>240</v>
      </c>
      <c r="C27" s="13" t="s">
        <v>269</v>
      </c>
      <c r="D27">
        <v>2755</v>
      </c>
      <c r="E27">
        <v>121</v>
      </c>
      <c r="F27">
        <f t="shared" si="0"/>
        <v>4.3920145190562615E-2</v>
      </c>
      <c r="G27">
        <v>1.02</v>
      </c>
      <c r="H27" t="s">
        <v>232</v>
      </c>
      <c r="I27" s="9" t="s">
        <v>249</v>
      </c>
      <c r="J27" s="9" t="s">
        <v>249</v>
      </c>
      <c r="K27" s="9" t="s">
        <v>249</v>
      </c>
      <c r="L27" s="9" t="s">
        <v>249</v>
      </c>
      <c r="M27" s="3" t="s">
        <v>48</v>
      </c>
      <c r="N27">
        <v>2007</v>
      </c>
      <c r="O27">
        <v>2007</v>
      </c>
      <c r="P27" t="s">
        <v>267</v>
      </c>
      <c r="Q27">
        <v>1</v>
      </c>
    </row>
    <row r="28" spans="1:17" ht="17.45" customHeight="1">
      <c r="A28" s="24" t="s">
        <v>55</v>
      </c>
      <c r="B28" t="s">
        <v>240</v>
      </c>
      <c r="C28" t="s">
        <v>270</v>
      </c>
      <c r="D28">
        <v>4860</v>
      </c>
      <c r="E28">
        <v>253</v>
      </c>
      <c r="F28">
        <f t="shared" si="0"/>
        <v>5.205761316872428E-2</v>
      </c>
      <c r="G28">
        <v>1.04</v>
      </c>
      <c r="H28" t="s">
        <v>232</v>
      </c>
      <c r="I28" s="9" t="s">
        <v>249</v>
      </c>
      <c r="J28" s="9" t="s">
        <v>249</v>
      </c>
      <c r="K28" s="9" t="s">
        <v>249</v>
      </c>
      <c r="L28" s="9" t="s">
        <v>249</v>
      </c>
      <c r="M28" s="3" t="s">
        <v>48</v>
      </c>
      <c r="N28">
        <v>2007</v>
      </c>
      <c r="O28">
        <v>2007</v>
      </c>
      <c r="P28" t="s">
        <v>267</v>
      </c>
      <c r="Q28">
        <v>1</v>
      </c>
    </row>
    <row r="29" spans="1:17" ht="17.45" customHeight="1">
      <c r="A29" s="24" t="s">
        <v>55</v>
      </c>
      <c r="B29" t="s">
        <v>240</v>
      </c>
      <c r="C29" t="s">
        <v>271</v>
      </c>
      <c r="D29">
        <v>6614</v>
      </c>
      <c r="E29">
        <v>5149</v>
      </c>
      <c r="F29">
        <f t="shared" si="0"/>
        <v>0.77850015119443605</v>
      </c>
      <c r="G29">
        <v>0.99</v>
      </c>
      <c r="H29" t="s">
        <v>232</v>
      </c>
      <c r="I29" s="9" t="s">
        <v>249</v>
      </c>
      <c r="J29" s="9" t="s">
        <v>249</v>
      </c>
      <c r="K29" s="9" t="s">
        <v>249</v>
      </c>
      <c r="L29" s="9" t="s">
        <v>249</v>
      </c>
      <c r="M29" s="3" t="s">
        <v>48</v>
      </c>
      <c r="N29">
        <v>2007</v>
      </c>
      <c r="O29">
        <v>2007</v>
      </c>
      <c r="P29" t="s">
        <v>267</v>
      </c>
      <c r="Q29">
        <v>1</v>
      </c>
    </row>
    <row r="30" spans="1:17" ht="17.45" customHeight="1">
      <c r="A30" s="24" t="s">
        <v>55</v>
      </c>
      <c r="B30" t="s">
        <v>240</v>
      </c>
      <c r="C30" t="s">
        <v>272</v>
      </c>
      <c r="D30">
        <v>10779</v>
      </c>
      <c r="E30">
        <v>1134</v>
      </c>
      <c r="F30">
        <f t="shared" si="0"/>
        <v>0.10520456443083774</v>
      </c>
      <c r="G30">
        <v>0.8</v>
      </c>
      <c r="H30" t="s">
        <v>232</v>
      </c>
      <c r="I30" s="9" t="s">
        <v>249</v>
      </c>
      <c r="J30" s="9" t="s">
        <v>249</v>
      </c>
      <c r="K30" s="9" t="s">
        <v>249</v>
      </c>
      <c r="L30" s="9" t="s">
        <v>249</v>
      </c>
      <c r="M30" s="3" t="s">
        <v>48</v>
      </c>
      <c r="N30">
        <v>2006</v>
      </c>
      <c r="O30">
        <v>2006</v>
      </c>
      <c r="P30" s="14" t="s">
        <v>273</v>
      </c>
      <c r="Q30">
        <v>1</v>
      </c>
    </row>
    <row r="31" spans="1:17" ht="17.45" customHeight="1">
      <c r="A31" s="24" t="s">
        <v>55</v>
      </c>
      <c r="B31" t="s">
        <v>240</v>
      </c>
      <c r="C31" t="s">
        <v>274</v>
      </c>
      <c r="D31">
        <v>27544</v>
      </c>
      <c r="E31">
        <v>4745</v>
      </c>
      <c r="F31">
        <f t="shared" si="0"/>
        <v>0.17226982282892825</v>
      </c>
      <c r="G31">
        <v>0.42</v>
      </c>
      <c r="H31" t="s">
        <v>232</v>
      </c>
      <c r="I31" s="9" t="s">
        <v>249</v>
      </c>
      <c r="J31" s="9" t="s">
        <v>249</v>
      </c>
      <c r="K31" s="9" t="s">
        <v>249</v>
      </c>
      <c r="L31" s="9" t="s">
        <v>249</v>
      </c>
      <c r="M31" s="3" t="s">
        <v>48</v>
      </c>
      <c r="N31">
        <v>2006</v>
      </c>
      <c r="O31">
        <v>2006</v>
      </c>
      <c r="P31" s="14" t="s">
        <v>273</v>
      </c>
      <c r="Q31">
        <v>1</v>
      </c>
    </row>
    <row r="32" spans="1:17" ht="17.45" customHeight="1">
      <c r="A32" s="24" t="s">
        <v>55</v>
      </c>
      <c r="B32" t="s">
        <v>240</v>
      </c>
      <c r="C32" t="s">
        <v>275</v>
      </c>
      <c r="D32">
        <v>14168</v>
      </c>
      <c r="E32">
        <v>311</v>
      </c>
      <c r="F32">
        <f t="shared" si="0"/>
        <v>2.1950875211744776E-2</v>
      </c>
      <c r="G32">
        <v>0.45</v>
      </c>
      <c r="H32" t="s">
        <v>232</v>
      </c>
      <c r="I32" s="9" t="s">
        <v>249</v>
      </c>
      <c r="J32" s="9" t="s">
        <v>249</v>
      </c>
      <c r="K32" s="9" t="s">
        <v>249</v>
      </c>
      <c r="L32" s="9" t="s">
        <v>249</v>
      </c>
      <c r="M32" s="3" t="s">
        <v>48</v>
      </c>
      <c r="N32">
        <v>2006</v>
      </c>
      <c r="O32">
        <v>2006</v>
      </c>
      <c r="P32" s="14" t="s">
        <v>273</v>
      </c>
      <c r="Q32">
        <v>1</v>
      </c>
    </row>
    <row r="33" spans="1:17" ht="17.45" customHeight="1">
      <c r="A33" s="24" t="s">
        <v>55</v>
      </c>
      <c r="B33" t="s">
        <v>240</v>
      </c>
      <c r="C33" t="s">
        <v>276</v>
      </c>
      <c r="D33">
        <v>13256</v>
      </c>
      <c r="E33">
        <v>1256</v>
      </c>
      <c r="F33">
        <f t="shared" si="0"/>
        <v>9.4749547374773688E-2</v>
      </c>
      <c r="G33">
        <v>0.83</v>
      </c>
      <c r="H33" t="s">
        <v>232</v>
      </c>
      <c r="I33" s="9" t="s">
        <v>249</v>
      </c>
      <c r="J33" s="9" t="s">
        <v>249</v>
      </c>
      <c r="K33" s="9" t="s">
        <v>249</v>
      </c>
      <c r="L33" s="9" t="s">
        <v>249</v>
      </c>
      <c r="M33" s="3" t="s">
        <v>48</v>
      </c>
      <c r="N33">
        <v>2006</v>
      </c>
      <c r="O33">
        <v>2006</v>
      </c>
      <c r="P33" s="14" t="s">
        <v>273</v>
      </c>
      <c r="Q33">
        <v>1</v>
      </c>
    </row>
    <row r="34" spans="1:17" ht="17.45" customHeight="1">
      <c r="A34" s="24" t="s">
        <v>55</v>
      </c>
      <c r="B34" t="s">
        <v>240</v>
      </c>
      <c r="C34" t="s">
        <v>277</v>
      </c>
      <c r="D34">
        <v>2146</v>
      </c>
      <c r="E34">
        <v>66</v>
      </c>
      <c r="F34">
        <f t="shared" si="0"/>
        <v>3.0754892823858342E-2</v>
      </c>
      <c r="G34">
        <v>1.01</v>
      </c>
      <c r="H34" t="s">
        <v>232</v>
      </c>
      <c r="I34" s="9" t="s">
        <v>249</v>
      </c>
      <c r="J34" s="9" t="s">
        <v>249</v>
      </c>
      <c r="K34" s="9" t="s">
        <v>249</v>
      </c>
      <c r="L34" s="9" t="s">
        <v>249</v>
      </c>
      <c r="M34" s="3" t="s">
        <v>48</v>
      </c>
      <c r="N34">
        <v>2006</v>
      </c>
      <c r="O34">
        <v>2006</v>
      </c>
      <c r="P34" s="14" t="s">
        <v>273</v>
      </c>
      <c r="Q34">
        <v>1</v>
      </c>
    </row>
    <row r="35" spans="1:17" ht="17.45" customHeight="1">
      <c r="A35" s="24" t="s">
        <v>55</v>
      </c>
      <c r="B35" t="s">
        <v>240</v>
      </c>
      <c r="C35" t="s">
        <v>278</v>
      </c>
      <c r="D35">
        <v>9669</v>
      </c>
      <c r="E35">
        <v>123</v>
      </c>
      <c r="F35">
        <f t="shared" si="0"/>
        <v>1.2721067328575862E-2</v>
      </c>
      <c r="G35">
        <v>0.62</v>
      </c>
      <c r="H35" t="s">
        <v>232</v>
      </c>
      <c r="I35" s="9" t="s">
        <v>249</v>
      </c>
      <c r="J35" s="9" t="s">
        <v>249</v>
      </c>
      <c r="K35" s="9" t="s">
        <v>249</v>
      </c>
      <c r="L35" s="9" t="s">
        <v>249</v>
      </c>
      <c r="M35" s="3" t="s">
        <v>48</v>
      </c>
      <c r="N35">
        <v>2006</v>
      </c>
      <c r="O35">
        <v>2006</v>
      </c>
      <c r="P35" s="14" t="s">
        <v>273</v>
      </c>
      <c r="Q35">
        <v>1</v>
      </c>
    </row>
    <row r="36" spans="1:17" ht="17.45" customHeight="1">
      <c r="A36" s="24" t="s">
        <v>55</v>
      </c>
      <c r="B36" t="s">
        <v>240</v>
      </c>
      <c r="C36" t="s">
        <v>279</v>
      </c>
      <c r="D36">
        <v>8613</v>
      </c>
      <c r="E36">
        <v>152</v>
      </c>
      <c r="F36">
        <f t="shared" si="0"/>
        <v>1.764774178567282E-2</v>
      </c>
      <c r="G36">
        <v>1.01</v>
      </c>
      <c r="H36" t="s">
        <v>232</v>
      </c>
      <c r="I36" s="9" t="s">
        <v>249</v>
      </c>
      <c r="J36" s="9" t="s">
        <v>249</v>
      </c>
      <c r="K36" s="9" t="s">
        <v>249</v>
      </c>
      <c r="L36" s="9" t="s">
        <v>249</v>
      </c>
      <c r="M36" s="3" t="s">
        <v>48</v>
      </c>
      <c r="N36">
        <v>2006</v>
      </c>
      <c r="O36">
        <v>2006</v>
      </c>
      <c r="P36" s="14" t="s">
        <v>273</v>
      </c>
      <c r="Q36">
        <v>1</v>
      </c>
    </row>
    <row r="37" spans="1:17" ht="17.45" customHeight="1">
      <c r="A37" s="24" t="s">
        <v>55</v>
      </c>
      <c r="B37" t="s">
        <v>240</v>
      </c>
      <c r="C37" t="s">
        <v>280</v>
      </c>
      <c r="D37">
        <v>125634</v>
      </c>
      <c r="E37">
        <v>7819</v>
      </c>
      <c r="F37">
        <f t="shared" si="0"/>
        <v>6.223633729722846E-2</v>
      </c>
      <c r="G37">
        <v>0.31</v>
      </c>
      <c r="H37" t="s">
        <v>232</v>
      </c>
      <c r="I37" s="9" t="s">
        <v>249</v>
      </c>
      <c r="J37" s="9" t="s">
        <v>249</v>
      </c>
      <c r="K37" s="9" t="s">
        <v>249</v>
      </c>
      <c r="L37" s="9" t="s">
        <v>249</v>
      </c>
      <c r="M37" s="3" t="s">
        <v>48</v>
      </c>
      <c r="N37">
        <v>2006</v>
      </c>
      <c r="O37">
        <v>2006</v>
      </c>
      <c r="P37" s="14" t="s">
        <v>273</v>
      </c>
      <c r="Q37">
        <v>1</v>
      </c>
    </row>
    <row r="38" spans="1:17" ht="17.45" customHeight="1">
      <c r="A38" s="3" t="s">
        <v>59</v>
      </c>
      <c r="B38" s="3" t="s">
        <v>281</v>
      </c>
      <c r="C38" s="3" t="s">
        <v>241</v>
      </c>
      <c r="D38" s="4">
        <v>4526</v>
      </c>
      <c r="E38" s="3">
        <v>82</v>
      </c>
      <c r="F38" s="3">
        <f t="shared" si="0"/>
        <v>1.8117543084401236E-2</v>
      </c>
      <c r="G38" s="3">
        <v>0.97</v>
      </c>
      <c r="H38" s="3" t="s">
        <v>232</v>
      </c>
      <c r="I38" s="3">
        <v>13</v>
      </c>
      <c r="J38" s="3">
        <v>510</v>
      </c>
      <c r="K38" s="3">
        <f t="shared" ref="K38:K54" si="1">I38/D38</f>
        <v>2.8722934158197082E-3</v>
      </c>
      <c r="L38" s="3">
        <f t="shared" ref="L38:L54" si="2">J38/D38</f>
        <v>0.11268228015908087</v>
      </c>
      <c r="M38" s="3" t="s">
        <v>48</v>
      </c>
      <c r="N38" s="3">
        <v>2013</v>
      </c>
      <c r="O38" s="3">
        <v>2013</v>
      </c>
      <c r="P38" s="3" t="s">
        <v>242</v>
      </c>
      <c r="Q38" s="3">
        <v>1</v>
      </c>
    </row>
    <row r="39" spans="1:17" ht="17.45" customHeight="1">
      <c r="A39" s="3" t="s">
        <v>59</v>
      </c>
      <c r="B39" s="3" t="s">
        <v>281</v>
      </c>
      <c r="C39" s="3" t="s">
        <v>282</v>
      </c>
      <c r="D39" s="4">
        <v>9100</v>
      </c>
      <c r="E39" s="3">
        <v>2495</v>
      </c>
      <c r="F39" s="3">
        <f t="shared" si="0"/>
        <v>0.2741758241758242</v>
      </c>
      <c r="G39" s="3">
        <v>0.49</v>
      </c>
      <c r="H39" s="3" t="s">
        <v>232</v>
      </c>
      <c r="I39" s="3">
        <v>709</v>
      </c>
      <c r="J39" s="3">
        <v>8781</v>
      </c>
      <c r="K39" s="3">
        <f t="shared" si="1"/>
        <v>7.791208791208791E-2</v>
      </c>
      <c r="L39" s="3">
        <f t="shared" si="2"/>
        <v>0.96494505494505489</v>
      </c>
      <c r="M39" s="3" t="s">
        <v>48</v>
      </c>
      <c r="N39" s="3">
        <v>2013</v>
      </c>
      <c r="O39" s="3">
        <v>2013</v>
      </c>
      <c r="P39" s="3" t="s">
        <v>242</v>
      </c>
      <c r="Q39" s="3">
        <v>1</v>
      </c>
    </row>
    <row r="40" spans="1:17" ht="17.45" customHeight="1">
      <c r="A40" s="3" t="s">
        <v>59</v>
      </c>
      <c r="B40" s="3" t="s">
        <v>281</v>
      </c>
      <c r="C40" s="3" t="s">
        <v>283</v>
      </c>
      <c r="D40" s="4">
        <v>15029</v>
      </c>
      <c r="E40" s="3">
        <v>201</v>
      </c>
      <c r="F40" s="3">
        <f t="shared" si="0"/>
        <v>1.3374143322909043E-2</v>
      </c>
      <c r="G40" s="3">
        <v>0.54</v>
      </c>
      <c r="H40" s="3" t="s">
        <v>232</v>
      </c>
      <c r="I40" s="3">
        <v>43</v>
      </c>
      <c r="J40" s="3">
        <v>941</v>
      </c>
      <c r="K40" s="3">
        <f t="shared" si="1"/>
        <v>2.8611351387317851E-3</v>
      </c>
      <c r="L40" s="3">
        <f t="shared" si="2"/>
        <v>6.2612282919688608E-2</v>
      </c>
      <c r="M40" s="3" t="s">
        <v>48</v>
      </c>
      <c r="N40" s="3">
        <v>2013</v>
      </c>
      <c r="O40" s="3">
        <v>2013</v>
      </c>
      <c r="P40" s="3" t="s">
        <v>242</v>
      </c>
      <c r="Q40" s="3">
        <v>1</v>
      </c>
    </row>
    <row r="41" spans="1:17" ht="17.45" customHeight="1">
      <c r="A41" s="3" t="s">
        <v>59</v>
      </c>
      <c r="B41" s="3" t="s">
        <v>281</v>
      </c>
      <c r="C41" s="3" t="s">
        <v>284</v>
      </c>
      <c r="D41" s="4">
        <v>43419</v>
      </c>
      <c r="E41" s="3">
        <v>920</v>
      </c>
      <c r="F41" s="3">
        <f t="shared" si="0"/>
        <v>2.1188880444045235E-2</v>
      </c>
      <c r="G41" s="3">
        <v>0.72</v>
      </c>
      <c r="H41" s="3" t="s">
        <v>232</v>
      </c>
      <c r="I41" s="3">
        <v>232</v>
      </c>
      <c r="J41" s="3">
        <v>3645</v>
      </c>
      <c r="K41" s="3">
        <f t="shared" si="1"/>
        <v>5.3432828945853194E-3</v>
      </c>
      <c r="L41" s="3">
        <f t="shared" si="2"/>
        <v>8.3949423063635731E-2</v>
      </c>
      <c r="M41" s="3" t="s">
        <v>48</v>
      </c>
      <c r="N41" s="3">
        <v>2013</v>
      </c>
      <c r="O41" s="3">
        <v>2013</v>
      </c>
      <c r="P41" s="3" t="s">
        <v>242</v>
      </c>
      <c r="Q41" s="3">
        <v>1</v>
      </c>
    </row>
    <row r="42" spans="1:17" ht="17.45" customHeight="1">
      <c r="A42" s="3" t="s">
        <v>59</v>
      </c>
      <c r="B42" s="3" t="s">
        <v>281</v>
      </c>
      <c r="C42" s="3" t="s">
        <v>285</v>
      </c>
      <c r="D42" s="4">
        <v>10091</v>
      </c>
      <c r="E42" s="3">
        <v>1170</v>
      </c>
      <c r="F42" s="3">
        <f t="shared" si="0"/>
        <v>0.11594490139728471</v>
      </c>
      <c r="G42" s="3">
        <v>0.72</v>
      </c>
      <c r="H42" s="3" t="s">
        <v>232</v>
      </c>
      <c r="I42" s="3">
        <v>264</v>
      </c>
      <c r="J42" s="3">
        <v>5193</v>
      </c>
      <c r="K42" s="3">
        <f t="shared" si="1"/>
        <v>2.616192646913091E-2</v>
      </c>
      <c r="L42" s="3">
        <f t="shared" si="2"/>
        <v>0.51461698543256362</v>
      </c>
      <c r="M42" s="3" t="s">
        <v>48</v>
      </c>
      <c r="N42" s="3">
        <v>2013</v>
      </c>
      <c r="O42" s="3">
        <v>2013</v>
      </c>
      <c r="P42" s="3" t="s">
        <v>242</v>
      </c>
      <c r="Q42" s="3">
        <v>1</v>
      </c>
    </row>
    <row r="43" spans="1:17" ht="17.45" customHeight="1">
      <c r="A43" s="3" t="s">
        <v>59</v>
      </c>
      <c r="B43" s="3" t="s">
        <v>281</v>
      </c>
      <c r="C43" s="3" t="s">
        <v>243</v>
      </c>
      <c r="D43" s="4">
        <v>4334</v>
      </c>
      <c r="E43" s="3">
        <v>32</v>
      </c>
      <c r="F43" s="3">
        <f t="shared" si="0"/>
        <v>7.3834794646977387E-3</v>
      </c>
      <c r="G43" s="3">
        <v>0.74</v>
      </c>
      <c r="H43" s="3" t="s">
        <v>232</v>
      </c>
      <c r="I43" s="3">
        <v>7</v>
      </c>
      <c r="J43" s="3">
        <v>123</v>
      </c>
      <c r="K43" s="3">
        <f t="shared" si="1"/>
        <v>1.6151361329026304E-3</v>
      </c>
      <c r="L43" s="3">
        <f t="shared" si="2"/>
        <v>2.8380249192431935E-2</v>
      </c>
      <c r="M43" s="3" t="s">
        <v>48</v>
      </c>
      <c r="N43" s="3">
        <v>2013</v>
      </c>
      <c r="O43" s="3">
        <v>2013</v>
      </c>
      <c r="P43" s="3" t="s">
        <v>242</v>
      </c>
      <c r="Q43" s="3">
        <v>1</v>
      </c>
    </row>
    <row r="44" spans="1:17" ht="17.45" customHeight="1">
      <c r="A44" s="3" t="s">
        <v>59</v>
      </c>
      <c r="B44" s="3" t="s">
        <v>281</v>
      </c>
      <c r="C44" s="3" t="s">
        <v>286</v>
      </c>
      <c r="D44" s="4">
        <v>63178</v>
      </c>
      <c r="E44" s="3">
        <v>660</v>
      </c>
      <c r="F44" s="3">
        <f t="shared" si="0"/>
        <v>1.0446674475292033E-2</v>
      </c>
      <c r="G44" s="3">
        <v>0.56000000000000005</v>
      </c>
      <c r="H44" s="3" t="s">
        <v>232</v>
      </c>
      <c r="I44" s="3">
        <v>187</v>
      </c>
      <c r="J44" s="3">
        <v>2334</v>
      </c>
      <c r="K44" s="3">
        <f t="shared" si="1"/>
        <v>2.9598911013327422E-3</v>
      </c>
      <c r="L44" s="3">
        <f t="shared" si="2"/>
        <v>3.6943239735350915E-2</v>
      </c>
      <c r="M44" s="3" t="s">
        <v>48</v>
      </c>
      <c r="N44" s="2">
        <v>2013</v>
      </c>
      <c r="O44" s="2">
        <v>2013</v>
      </c>
      <c r="P44" s="3" t="s">
        <v>242</v>
      </c>
      <c r="Q44" s="3">
        <v>1</v>
      </c>
    </row>
    <row r="45" spans="1:17" ht="17.45" customHeight="1">
      <c r="A45" s="3" t="s">
        <v>59</v>
      </c>
      <c r="B45" s="3" t="s">
        <v>281</v>
      </c>
      <c r="C45" s="3" t="s">
        <v>287</v>
      </c>
      <c r="D45" s="4">
        <v>29178</v>
      </c>
      <c r="E45" s="3">
        <v>886</v>
      </c>
      <c r="F45" s="3">
        <f t="shared" si="0"/>
        <v>3.0365343752142025E-2</v>
      </c>
      <c r="G45" s="3">
        <v>0.36</v>
      </c>
      <c r="H45" s="3" t="s">
        <v>232</v>
      </c>
      <c r="I45" s="3">
        <v>415</v>
      </c>
      <c r="J45" s="3">
        <v>1893</v>
      </c>
      <c r="K45" s="3">
        <f t="shared" si="1"/>
        <v>1.4223044759750498E-2</v>
      </c>
      <c r="L45" s="3">
        <f t="shared" si="2"/>
        <v>6.4877647542669128E-2</v>
      </c>
      <c r="M45" s="3" t="s">
        <v>48</v>
      </c>
      <c r="N45" s="2">
        <v>2013</v>
      </c>
      <c r="O45" s="2">
        <v>2013</v>
      </c>
      <c r="P45" s="3" t="s">
        <v>242</v>
      </c>
      <c r="Q45" s="3">
        <v>1</v>
      </c>
    </row>
    <row r="46" spans="1:17" ht="17.45" customHeight="1">
      <c r="A46" s="3" t="s">
        <v>59</v>
      </c>
      <c r="B46" s="3" t="s">
        <v>281</v>
      </c>
      <c r="C46" s="3" t="s">
        <v>288</v>
      </c>
      <c r="D46" s="4">
        <v>178855</v>
      </c>
      <c r="E46" s="3">
        <v>6446</v>
      </c>
      <c r="F46" s="3">
        <f t="shared" si="0"/>
        <v>3.6040367895781501E-2</v>
      </c>
      <c r="G46" s="3">
        <v>0.26</v>
      </c>
      <c r="H46" s="3" t="s">
        <v>232</v>
      </c>
      <c r="I46" s="3">
        <v>3838</v>
      </c>
      <c r="J46" s="3">
        <v>10827</v>
      </c>
      <c r="K46" s="3">
        <f t="shared" si="1"/>
        <v>2.1458723547007352E-2</v>
      </c>
      <c r="L46" s="3">
        <f t="shared" si="2"/>
        <v>6.0535070308350342E-2</v>
      </c>
      <c r="M46" s="3" t="s">
        <v>48</v>
      </c>
      <c r="N46" s="3">
        <v>2013</v>
      </c>
      <c r="O46" s="3">
        <v>2013</v>
      </c>
      <c r="P46" s="3" t="s">
        <v>242</v>
      </c>
      <c r="Q46" s="3">
        <v>1</v>
      </c>
    </row>
    <row r="47" spans="1:17" ht="17.45" customHeight="1">
      <c r="A47" s="24" t="s">
        <v>61</v>
      </c>
      <c r="B47" t="s">
        <v>281</v>
      </c>
      <c r="C47" t="s">
        <v>289</v>
      </c>
      <c r="D47" s="9">
        <v>105260</v>
      </c>
      <c r="E47">
        <v>744</v>
      </c>
      <c r="F47">
        <f>0.707/100</f>
        <v>7.0699999999999999E-3</v>
      </c>
      <c r="G47">
        <v>0.34</v>
      </c>
      <c r="H47" t="s">
        <v>232</v>
      </c>
      <c r="I47" s="9">
        <v>357</v>
      </c>
      <c r="J47" s="9">
        <v>1461</v>
      </c>
      <c r="K47" s="12">
        <f t="shared" si="1"/>
        <v>3.3916017480524418E-3</v>
      </c>
      <c r="L47" s="12">
        <f t="shared" si="2"/>
        <v>1.3879916397491926E-2</v>
      </c>
      <c r="M47" s="3" t="s">
        <v>48</v>
      </c>
      <c r="N47">
        <v>2012</v>
      </c>
      <c r="O47">
        <v>2012</v>
      </c>
      <c r="P47" t="s">
        <v>290</v>
      </c>
      <c r="Q47">
        <v>1</v>
      </c>
    </row>
    <row r="48" spans="1:17" ht="17.45" customHeight="1">
      <c r="A48" s="24" t="s">
        <v>66</v>
      </c>
      <c r="B48" s="3" t="s">
        <v>291</v>
      </c>
      <c r="C48" s="3" t="s">
        <v>292</v>
      </c>
      <c r="D48" s="4">
        <v>16135</v>
      </c>
      <c r="E48" s="3">
        <v>6005</v>
      </c>
      <c r="F48" s="3">
        <f t="shared" ref="F48:F54" si="3">E48/D48</f>
        <v>0.37217229625038734</v>
      </c>
      <c r="G48" s="3">
        <v>0.2</v>
      </c>
      <c r="H48" s="3" t="s">
        <v>232</v>
      </c>
      <c r="I48" s="3">
        <v>4070</v>
      </c>
      <c r="J48" s="3">
        <v>8858</v>
      </c>
      <c r="K48" s="3">
        <f t="shared" si="1"/>
        <v>0.25224666873256896</v>
      </c>
      <c r="L48" s="3">
        <f t="shared" si="2"/>
        <v>0.54899287263712426</v>
      </c>
      <c r="M48" s="3" t="s">
        <v>48</v>
      </c>
      <c r="N48" s="3">
        <v>2014</v>
      </c>
      <c r="O48" s="3">
        <v>2014</v>
      </c>
      <c r="P48" s="3" t="s">
        <v>293</v>
      </c>
      <c r="Q48" s="3">
        <v>1</v>
      </c>
    </row>
    <row r="49" spans="1:17" ht="17.45" customHeight="1">
      <c r="A49" s="24" t="s">
        <v>66</v>
      </c>
      <c r="B49" t="s">
        <v>294</v>
      </c>
      <c r="C49" s="3" t="s">
        <v>292</v>
      </c>
      <c r="D49" s="4">
        <v>16135</v>
      </c>
      <c r="E49" s="3">
        <v>2324</v>
      </c>
      <c r="F49" s="3">
        <f t="shared" si="3"/>
        <v>0.1440347071583514</v>
      </c>
      <c r="G49" s="3">
        <v>0.47</v>
      </c>
      <c r="H49" s="3" t="s">
        <v>232</v>
      </c>
      <c r="I49" s="3">
        <v>968</v>
      </c>
      <c r="J49" s="3">
        <v>5575</v>
      </c>
      <c r="K49" s="3">
        <f t="shared" si="1"/>
        <v>5.9993802293151537E-2</v>
      </c>
      <c r="L49" s="3">
        <f t="shared" si="2"/>
        <v>0.34552215680198328</v>
      </c>
      <c r="M49" s="3" t="s">
        <v>48</v>
      </c>
      <c r="N49" s="3">
        <v>2014</v>
      </c>
      <c r="O49" s="3">
        <v>2014</v>
      </c>
      <c r="P49" s="3" t="s">
        <v>293</v>
      </c>
      <c r="Q49" s="3">
        <v>1</v>
      </c>
    </row>
    <row r="50" spans="1:17" ht="17.45" customHeight="1">
      <c r="A50" s="24" t="s">
        <v>66</v>
      </c>
      <c r="B50" s="3" t="s">
        <v>240</v>
      </c>
      <c r="C50" s="3" t="s">
        <v>292</v>
      </c>
      <c r="D50" s="4">
        <v>16135</v>
      </c>
      <c r="E50" s="3">
        <v>3059</v>
      </c>
      <c r="F50" s="3">
        <f t="shared" si="3"/>
        <v>0.18958785249457702</v>
      </c>
      <c r="G50" s="3">
        <v>0.28999999999999998</v>
      </c>
      <c r="H50" s="3" t="s">
        <v>232</v>
      </c>
      <c r="I50" s="3">
        <v>1760</v>
      </c>
      <c r="J50" s="3">
        <v>5316</v>
      </c>
      <c r="K50" s="3">
        <f t="shared" si="1"/>
        <v>0.10907964053300279</v>
      </c>
      <c r="L50" s="3">
        <f t="shared" si="2"/>
        <v>0.32947009606445615</v>
      </c>
      <c r="M50" s="3" t="s">
        <v>48</v>
      </c>
      <c r="N50" s="3">
        <v>2014</v>
      </c>
      <c r="O50" s="3">
        <v>2014</v>
      </c>
      <c r="P50" s="3" t="s">
        <v>293</v>
      </c>
      <c r="Q50" s="3">
        <v>1</v>
      </c>
    </row>
    <row r="51" spans="1:17" ht="17.45" customHeight="1">
      <c r="A51" s="24" t="s">
        <v>66</v>
      </c>
      <c r="B51" s="3" t="s">
        <v>295</v>
      </c>
      <c r="C51" s="3" t="s">
        <v>292</v>
      </c>
      <c r="D51" s="4">
        <v>16135</v>
      </c>
      <c r="E51" s="3">
        <v>2544</v>
      </c>
      <c r="F51" s="3">
        <f t="shared" si="3"/>
        <v>0.15766966222497675</v>
      </c>
      <c r="G51" s="3">
        <v>0.27</v>
      </c>
      <c r="H51" s="3" t="s">
        <v>232</v>
      </c>
      <c r="I51" s="3">
        <v>1513</v>
      </c>
      <c r="J51" s="3">
        <v>4279</v>
      </c>
      <c r="K51" s="3">
        <f t="shared" si="1"/>
        <v>9.3771304617291606E-2</v>
      </c>
      <c r="L51" s="3">
        <f t="shared" si="2"/>
        <v>0.26519987604586304</v>
      </c>
      <c r="M51" s="3" t="s">
        <v>48</v>
      </c>
      <c r="N51" s="3">
        <v>2014</v>
      </c>
      <c r="O51" s="3">
        <v>2014</v>
      </c>
      <c r="P51" s="3" t="s">
        <v>293</v>
      </c>
      <c r="Q51" s="3">
        <v>1</v>
      </c>
    </row>
    <row r="52" spans="1:17" ht="17.45" customHeight="1">
      <c r="A52" s="24" t="s">
        <v>69</v>
      </c>
      <c r="B52" t="s">
        <v>295</v>
      </c>
      <c r="C52" t="s">
        <v>296</v>
      </c>
      <c r="D52">
        <v>44298</v>
      </c>
      <c r="E52" s="9">
        <v>1105</v>
      </c>
      <c r="F52">
        <f t="shared" si="3"/>
        <v>2.4944692762652942E-2</v>
      </c>
      <c r="G52">
        <v>0.31</v>
      </c>
      <c r="H52" t="s">
        <v>232</v>
      </c>
      <c r="I52">
        <v>610</v>
      </c>
      <c r="J52">
        <v>2002</v>
      </c>
      <c r="K52" s="12">
        <f t="shared" si="1"/>
        <v>1.3770373380288048E-2</v>
      </c>
      <c r="L52" s="12">
        <f t="shared" si="2"/>
        <v>4.5193913946453564E-2</v>
      </c>
      <c r="M52" s="3" t="s">
        <v>48</v>
      </c>
      <c r="N52">
        <v>2006</v>
      </c>
      <c r="O52">
        <v>2006</v>
      </c>
      <c r="P52" t="s">
        <v>297</v>
      </c>
      <c r="Q52">
        <v>1</v>
      </c>
    </row>
    <row r="53" spans="1:17" ht="17.45" customHeight="1">
      <c r="A53" s="24" t="s">
        <v>69</v>
      </c>
      <c r="B53" t="s">
        <v>295</v>
      </c>
      <c r="C53" t="s">
        <v>298</v>
      </c>
      <c r="D53">
        <v>34332</v>
      </c>
      <c r="E53" s="9">
        <v>1137</v>
      </c>
      <c r="F53">
        <f t="shared" si="3"/>
        <v>3.3117790982174065E-2</v>
      </c>
      <c r="G53">
        <v>0.48</v>
      </c>
      <c r="H53" t="s">
        <v>232</v>
      </c>
      <c r="I53">
        <v>468</v>
      </c>
      <c r="J53">
        <v>2758</v>
      </c>
      <c r="K53" s="12">
        <f t="shared" si="1"/>
        <v>1.3631597343586158E-2</v>
      </c>
      <c r="L53" s="12">
        <f t="shared" si="2"/>
        <v>8.0333216823954334E-2</v>
      </c>
      <c r="M53" s="3" t="s">
        <v>48</v>
      </c>
      <c r="N53">
        <v>2008</v>
      </c>
      <c r="O53">
        <v>2008</v>
      </c>
      <c r="P53" t="s">
        <v>299</v>
      </c>
      <c r="Q53">
        <v>1</v>
      </c>
    </row>
    <row r="54" spans="1:17" ht="17.45" customHeight="1">
      <c r="A54" s="24" t="s">
        <v>69</v>
      </c>
      <c r="B54" t="s">
        <v>295</v>
      </c>
      <c r="C54" t="s">
        <v>300</v>
      </c>
      <c r="D54">
        <v>41876</v>
      </c>
      <c r="E54" s="9">
        <v>1408</v>
      </c>
      <c r="F54">
        <f t="shared" si="3"/>
        <v>3.3623077657846979E-2</v>
      </c>
      <c r="G54">
        <v>0.22</v>
      </c>
      <c r="H54" t="s">
        <v>232</v>
      </c>
      <c r="I54">
        <v>922</v>
      </c>
      <c r="J54">
        <v>2150</v>
      </c>
      <c r="K54" s="12">
        <f t="shared" si="1"/>
        <v>2.2017384659470819E-2</v>
      </c>
      <c r="L54" s="12">
        <f t="shared" si="2"/>
        <v>5.1342057503104402E-2</v>
      </c>
      <c r="M54" s="3" t="s">
        <v>48</v>
      </c>
      <c r="N54">
        <v>2012</v>
      </c>
      <c r="O54">
        <v>2012</v>
      </c>
      <c r="P54" t="s">
        <v>301</v>
      </c>
      <c r="Q54">
        <v>1</v>
      </c>
    </row>
    <row r="55" spans="1:17" ht="17.45" customHeight="1">
      <c r="A55" s="24" t="s">
        <v>71</v>
      </c>
      <c r="B55" t="s">
        <v>291</v>
      </c>
      <c r="C55" t="s">
        <v>302</v>
      </c>
      <c r="D55" s="9">
        <v>767114</v>
      </c>
      <c r="E55" s="9" t="s">
        <v>249</v>
      </c>
      <c r="F55" s="12">
        <v>0.39</v>
      </c>
      <c r="G55" t="s">
        <v>249</v>
      </c>
      <c r="H55" t="s">
        <v>249</v>
      </c>
      <c r="I55" s="9" t="s">
        <v>249</v>
      </c>
      <c r="J55" s="9" t="s">
        <v>249</v>
      </c>
      <c r="K55" s="12">
        <v>0.32</v>
      </c>
      <c r="L55" s="12">
        <v>0.47</v>
      </c>
      <c r="M55" s="3" t="s">
        <v>48</v>
      </c>
      <c r="N55">
        <v>2012</v>
      </c>
      <c r="O55">
        <v>2012</v>
      </c>
      <c r="P55" t="s">
        <v>303</v>
      </c>
      <c r="Q55">
        <v>1</v>
      </c>
    </row>
    <row r="56" spans="1:17" ht="17.45" customHeight="1">
      <c r="A56" s="24" t="s">
        <v>71</v>
      </c>
      <c r="B56" t="s">
        <v>304</v>
      </c>
      <c r="C56" t="s">
        <v>302</v>
      </c>
      <c r="D56" s="9">
        <v>767114</v>
      </c>
      <c r="E56" s="9" t="s">
        <v>249</v>
      </c>
      <c r="F56" s="12">
        <v>0.24</v>
      </c>
      <c r="G56" t="s">
        <v>249</v>
      </c>
      <c r="H56" t="s">
        <v>249</v>
      </c>
      <c r="I56" s="9" t="s">
        <v>249</v>
      </c>
      <c r="J56" s="9" t="s">
        <v>249</v>
      </c>
      <c r="K56" s="12">
        <v>0.19</v>
      </c>
      <c r="L56" s="12">
        <v>0.3</v>
      </c>
      <c r="M56" s="3" t="s">
        <v>48</v>
      </c>
      <c r="N56">
        <v>2012</v>
      </c>
      <c r="O56">
        <v>2012</v>
      </c>
      <c r="P56" t="s">
        <v>303</v>
      </c>
      <c r="Q56">
        <v>1</v>
      </c>
    </row>
    <row r="57" spans="1:17" ht="17.45" customHeight="1">
      <c r="A57" s="24" t="s">
        <v>71</v>
      </c>
      <c r="B57" t="s">
        <v>305</v>
      </c>
      <c r="C57" t="s">
        <v>302</v>
      </c>
      <c r="D57" s="9">
        <v>767114</v>
      </c>
      <c r="E57" s="9" t="s">
        <v>249</v>
      </c>
      <c r="F57" s="12">
        <v>0.6</v>
      </c>
      <c r="G57" t="s">
        <v>249</v>
      </c>
      <c r="H57" t="s">
        <v>249</v>
      </c>
      <c r="I57" s="9" t="s">
        <v>249</v>
      </c>
      <c r="J57" s="9" t="s">
        <v>249</v>
      </c>
      <c r="K57" s="12">
        <v>0.51</v>
      </c>
      <c r="L57" s="12">
        <v>0.73</v>
      </c>
      <c r="M57" s="3" t="s">
        <v>48</v>
      </c>
      <c r="N57">
        <v>2012</v>
      </c>
      <c r="O57">
        <v>2012</v>
      </c>
      <c r="P57" t="s">
        <v>303</v>
      </c>
      <c r="Q57">
        <v>1</v>
      </c>
    </row>
    <row r="58" spans="1:17" ht="17.45" customHeight="1">
      <c r="A58" s="24" t="s">
        <v>76</v>
      </c>
      <c r="B58" t="s">
        <v>291</v>
      </c>
      <c r="C58" t="s">
        <v>306</v>
      </c>
      <c r="D58" s="9">
        <v>767114</v>
      </c>
      <c r="E58" s="9">
        <v>170000</v>
      </c>
      <c r="F58">
        <f t="shared" ref="F58:F65" si="4">E58/D58</f>
        <v>0.2216098259189638</v>
      </c>
      <c r="G58" s="9">
        <v>7000</v>
      </c>
      <c r="H58" t="s">
        <v>307</v>
      </c>
      <c r="I58" s="9" t="s">
        <v>249</v>
      </c>
      <c r="J58" s="9" t="s">
        <v>249</v>
      </c>
      <c r="K58" s="9" t="s">
        <v>249</v>
      </c>
      <c r="L58" s="9" t="s">
        <v>249</v>
      </c>
      <c r="M58" s="3" t="s">
        <v>48</v>
      </c>
      <c r="N58">
        <v>2012</v>
      </c>
      <c r="O58">
        <v>2012</v>
      </c>
      <c r="P58" t="s">
        <v>308</v>
      </c>
      <c r="Q58">
        <v>1</v>
      </c>
    </row>
    <row r="59" spans="1:17" ht="17.45" customHeight="1">
      <c r="A59" s="24" t="s">
        <v>76</v>
      </c>
      <c r="B59" t="s">
        <v>291</v>
      </c>
      <c r="C59" t="s">
        <v>309</v>
      </c>
      <c r="D59" s="9">
        <v>767114</v>
      </c>
      <c r="E59" s="9">
        <v>125000</v>
      </c>
      <c r="F59">
        <f t="shared" si="4"/>
        <v>0.16294840141100281</v>
      </c>
      <c r="G59" s="9">
        <v>5000</v>
      </c>
      <c r="H59" t="s">
        <v>307</v>
      </c>
      <c r="I59" s="9" t="s">
        <v>249</v>
      </c>
      <c r="J59" s="9" t="s">
        <v>249</v>
      </c>
      <c r="K59" s="9" t="s">
        <v>249</v>
      </c>
      <c r="L59" s="9" t="s">
        <v>249</v>
      </c>
      <c r="M59" s="3" t="s">
        <v>48</v>
      </c>
      <c r="N59">
        <v>2013</v>
      </c>
      <c r="O59">
        <v>2013</v>
      </c>
      <c r="P59" t="s">
        <v>310</v>
      </c>
      <c r="Q59">
        <v>1</v>
      </c>
    </row>
    <row r="60" spans="1:17" ht="17.45" customHeight="1">
      <c r="A60" s="24" t="s">
        <v>76</v>
      </c>
      <c r="B60" t="s">
        <v>304</v>
      </c>
      <c r="C60" t="s">
        <v>306</v>
      </c>
      <c r="D60" s="9">
        <v>767114</v>
      </c>
      <c r="E60" s="9">
        <v>117000</v>
      </c>
      <c r="F60">
        <f t="shared" si="4"/>
        <v>0.15251970372069862</v>
      </c>
      <c r="G60" s="9">
        <v>25000</v>
      </c>
      <c r="H60" t="s">
        <v>307</v>
      </c>
      <c r="I60" s="9" t="s">
        <v>249</v>
      </c>
      <c r="J60" s="9" t="s">
        <v>249</v>
      </c>
      <c r="K60" s="9" t="s">
        <v>249</v>
      </c>
      <c r="L60" s="9" t="s">
        <v>249</v>
      </c>
      <c r="M60" s="3" t="s">
        <v>48</v>
      </c>
      <c r="N60">
        <v>2012</v>
      </c>
      <c r="O60">
        <v>2012</v>
      </c>
      <c r="P60" t="s">
        <v>308</v>
      </c>
      <c r="Q60">
        <v>1</v>
      </c>
    </row>
    <row r="61" spans="1:17" ht="17.45" customHeight="1">
      <c r="A61" s="24" t="s">
        <v>76</v>
      </c>
      <c r="B61" t="s">
        <v>304</v>
      </c>
      <c r="C61" t="s">
        <v>309</v>
      </c>
      <c r="D61" s="9">
        <v>767114</v>
      </c>
      <c r="E61" s="9">
        <v>38000</v>
      </c>
      <c r="F61">
        <f t="shared" si="4"/>
        <v>4.9536314028944851E-2</v>
      </c>
      <c r="G61" s="9">
        <v>4000</v>
      </c>
      <c r="H61" t="s">
        <v>307</v>
      </c>
      <c r="I61" s="9" t="s">
        <v>249</v>
      </c>
      <c r="J61" s="9" t="s">
        <v>249</v>
      </c>
      <c r="K61" s="9" t="s">
        <v>249</v>
      </c>
      <c r="L61" s="9" t="s">
        <v>249</v>
      </c>
      <c r="M61" s="3" t="s">
        <v>48</v>
      </c>
      <c r="N61">
        <v>2013</v>
      </c>
      <c r="O61">
        <v>2013</v>
      </c>
      <c r="P61" t="s">
        <v>310</v>
      </c>
      <c r="Q61">
        <v>1</v>
      </c>
    </row>
    <row r="62" spans="1:17" ht="17.45" customHeight="1">
      <c r="A62" s="24" t="s">
        <v>76</v>
      </c>
      <c r="B62" t="s">
        <v>311</v>
      </c>
      <c r="C62" t="s">
        <v>306</v>
      </c>
      <c r="D62" s="9">
        <v>767114</v>
      </c>
      <c r="E62" s="9">
        <v>186000</v>
      </c>
      <c r="F62">
        <f t="shared" si="4"/>
        <v>0.24246722129957216</v>
      </c>
      <c r="G62" s="9">
        <v>3000</v>
      </c>
      <c r="H62" t="s">
        <v>307</v>
      </c>
      <c r="I62" s="9" t="s">
        <v>249</v>
      </c>
      <c r="J62" s="9" t="s">
        <v>249</v>
      </c>
      <c r="K62" s="9" t="s">
        <v>249</v>
      </c>
      <c r="L62" s="9" t="s">
        <v>249</v>
      </c>
      <c r="M62" s="3" t="s">
        <v>48</v>
      </c>
      <c r="N62">
        <v>2012</v>
      </c>
      <c r="O62">
        <v>2012</v>
      </c>
      <c r="P62" t="s">
        <v>308</v>
      </c>
      <c r="Q62">
        <v>1</v>
      </c>
    </row>
    <row r="63" spans="1:17" ht="17.45" customHeight="1">
      <c r="A63" s="24" t="s">
        <v>76</v>
      </c>
      <c r="B63" t="s">
        <v>311</v>
      </c>
      <c r="C63" t="s">
        <v>309</v>
      </c>
      <c r="D63" s="9">
        <v>767114</v>
      </c>
      <c r="E63" s="9">
        <v>119000</v>
      </c>
      <c r="F63">
        <f t="shared" si="4"/>
        <v>0.15512687814327467</v>
      </c>
      <c r="G63" s="9">
        <v>4000</v>
      </c>
      <c r="H63" t="s">
        <v>307</v>
      </c>
      <c r="I63" s="9" t="s">
        <v>249</v>
      </c>
      <c r="J63" s="9" t="s">
        <v>249</v>
      </c>
      <c r="K63" s="9" t="s">
        <v>249</v>
      </c>
      <c r="L63" s="9" t="s">
        <v>249</v>
      </c>
      <c r="M63" s="3" t="s">
        <v>48</v>
      </c>
      <c r="N63">
        <v>2013</v>
      </c>
      <c r="O63">
        <v>2013</v>
      </c>
      <c r="P63" t="s">
        <v>310</v>
      </c>
      <c r="Q63">
        <v>1</v>
      </c>
    </row>
    <row r="64" spans="1:17" ht="17.45" customHeight="1">
      <c r="A64" s="24" t="s">
        <v>76</v>
      </c>
      <c r="B64" t="s">
        <v>305</v>
      </c>
      <c r="C64" t="s">
        <v>306</v>
      </c>
      <c r="D64" s="9">
        <v>767114</v>
      </c>
      <c r="E64" s="9">
        <v>240000</v>
      </c>
      <c r="F64">
        <f t="shared" si="4"/>
        <v>0.31286093070912535</v>
      </c>
      <c r="G64" s="9">
        <v>24000</v>
      </c>
      <c r="H64" t="s">
        <v>307</v>
      </c>
      <c r="I64" s="9" t="s">
        <v>249</v>
      </c>
      <c r="J64" s="9" t="s">
        <v>249</v>
      </c>
      <c r="K64" s="9" t="s">
        <v>249</v>
      </c>
      <c r="L64" s="9" t="s">
        <v>249</v>
      </c>
      <c r="M64" s="3" t="s">
        <v>48</v>
      </c>
      <c r="N64">
        <v>2012</v>
      </c>
      <c r="O64">
        <v>2012</v>
      </c>
      <c r="P64" t="s">
        <v>308</v>
      </c>
      <c r="Q64">
        <v>1</v>
      </c>
    </row>
    <row r="65" spans="1:17" ht="17.45" customHeight="1">
      <c r="A65" s="24" t="s">
        <v>76</v>
      </c>
      <c r="B65" t="s">
        <v>305</v>
      </c>
      <c r="C65" t="s">
        <v>309</v>
      </c>
      <c r="D65" s="9">
        <v>767114</v>
      </c>
      <c r="E65" s="9">
        <v>163000</v>
      </c>
      <c r="F65">
        <f t="shared" si="4"/>
        <v>0.21248471543994765</v>
      </c>
      <c r="G65" s="9">
        <v>6000</v>
      </c>
      <c r="H65" t="s">
        <v>307</v>
      </c>
      <c r="I65" s="9" t="s">
        <v>249</v>
      </c>
      <c r="J65" s="9" t="s">
        <v>249</v>
      </c>
      <c r="K65" s="9" t="s">
        <v>249</v>
      </c>
      <c r="L65" s="9" t="s">
        <v>249</v>
      </c>
      <c r="M65" s="3" t="s">
        <v>48</v>
      </c>
      <c r="N65">
        <v>2013</v>
      </c>
      <c r="O65">
        <v>2013</v>
      </c>
      <c r="P65" t="s">
        <v>310</v>
      </c>
      <c r="Q65">
        <v>1</v>
      </c>
    </row>
    <row r="66" spans="1:17" ht="17.45" customHeight="1">
      <c r="A66" s="24" t="s">
        <v>80</v>
      </c>
      <c r="B66" t="s">
        <v>291</v>
      </c>
      <c r="C66" t="s">
        <v>312</v>
      </c>
      <c r="D66" s="16">
        <f t="shared" ref="D66:D72" si="5">E66/F66</f>
        <v>85448.72846595569</v>
      </c>
      <c r="E66" s="17">
        <v>1494</v>
      </c>
      <c r="F66" s="18">
        <v>1.7484168890766309E-2</v>
      </c>
      <c r="G66" s="11" t="s">
        <v>249</v>
      </c>
      <c r="H66" s="11" t="s">
        <v>249</v>
      </c>
      <c r="I66">
        <v>862</v>
      </c>
      <c r="J66">
        <v>2589</v>
      </c>
      <c r="K66" s="18">
        <v>1.0087920738849102E-2</v>
      </c>
      <c r="L66" s="18">
        <v>3.0298870989420329E-2</v>
      </c>
      <c r="M66" s="3" t="s">
        <v>48</v>
      </c>
      <c r="N66">
        <v>1995</v>
      </c>
      <c r="O66">
        <v>1995</v>
      </c>
      <c r="P66" t="s">
        <v>313</v>
      </c>
      <c r="Q66" s="3">
        <v>1</v>
      </c>
    </row>
    <row r="67" spans="1:17" ht="17.45" customHeight="1">
      <c r="A67" s="24" t="s">
        <v>80</v>
      </c>
      <c r="B67" t="s">
        <v>291</v>
      </c>
      <c r="C67" t="s">
        <v>312</v>
      </c>
      <c r="D67" s="16">
        <f t="shared" si="5"/>
        <v>63848.790322580637</v>
      </c>
      <c r="E67" s="17">
        <v>1216</v>
      </c>
      <c r="F67" s="18">
        <v>1.9044996684454831E-2</v>
      </c>
      <c r="G67" s="11" t="s">
        <v>249</v>
      </c>
      <c r="H67" s="11" t="s">
        <v>249</v>
      </c>
      <c r="I67">
        <v>618</v>
      </c>
      <c r="J67">
        <v>2392</v>
      </c>
      <c r="K67" s="18">
        <v>9.6791183807508931E-3</v>
      </c>
      <c r="L67" s="18">
        <v>3.7463513214815752E-2</v>
      </c>
      <c r="M67" s="3" t="s">
        <v>48</v>
      </c>
      <c r="N67">
        <v>1996</v>
      </c>
      <c r="O67">
        <v>1996</v>
      </c>
      <c r="P67" t="s">
        <v>314</v>
      </c>
      <c r="Q67" s="3">
        <v>1</v>
      </c>
    </row>
    <row r="68" spans="1:17" ht="17.45" customHeight="1">
      <c r="A68" s="24" t="s">
        <v>80</v>
      </c>
      <c r="B68" t="s">
        <v>291</v>
      </c>
      <c r="C68" t="s">
        <v>315</v>
      </c>
      <c r="D68" s="16">
        <f t="shared" si="5"/>
        <v>85499.261447562778</v>
      </c>
      <c r="E68" s="17">
        <v>278</v>
      </c>
      <c r="F68" s="18">
        <v>3.2514900748060742E-3</v>
      </c>
      <c r="G68" s="11" t="s">
        <v>249</v>
      </c>
      <c r="H68" s="11" t="s">
        <v>249</v>
      </c>
      <c r="I68">
        <v>99</v>
      </c>
      <c r="J68">
        <v>783</v>
      </c>
      <c r="K68" s="18">
        <v>1.1579047388697891E-3</v>
      </c>
      <c r="L68" s="18">
        <v>9.1579738437883307E-3</v>
      </c>
      <c r="M68" s="3" t="s">
        <v>48</v>
      </c>
      <c r="N68">
        <v>1997</v>
      </c>
      <c r="O68">
        <v>1997</v>
      </c>
      <c r="P68" t="s">
        <v>316</v>
      </c>
      <c r="Q68">
        <v>1</v>
      </c>
    </row>
    <row r="69" spans="1:17" ht="17.45" customHeight="1">
      <c r="A69" s="24" t="s">
        <v>80</v>
      </c>
      <c r="B69" t="s">
        <v>291</v>
      </c>
      <c r="C69" t="s">
        <v>317</v>
      </c>
      <c r="D69" s="16">
        <f t="shared" si="5"/>
        <v>81979.775280898873</v>
      </c>
      <c r="E69" s="17">
        <v>313</v>
      </c>
      <c r="F69" s="18">
        <v>3.8180148570488748E-3</v>
      </c>
      <c r="G69" s="11" t="s">
        <v>249</v>
      </c>
      <c r="H69" s="11" t="s">
        <v>249</v>
      </c>
      <c r="I69">
        <v>178</v>
      </c>
      <c r="J69">
        <v>549</v>
      </c>
      <c r="K69" s="18">
        <v>2.1712672349990408E-3</v>
      </c>
      <c r="L69" s="18">
        <v>6.6967736630026593E-3</v>
      </c>
      <c r="M69" s="3" t="s">
        <v>48</v>
      </c>
      <c r="N69">
        <v>1999</v>
      </c>
      <c r="O69">
        <v>1999</v>
      </c>
      <c r="P69" t="s">
        <v>318</v>
      </c>
      <c r="Q69" s="3">
        <v>1</v>
      </c>
    </row>
    <row r="70" spans="1:17" ht="17.45" customHeight="1">
      <c r="A70" s="24" t="s">
        <v>80</v>
      </c>
      <c r="B70" t="s">
        <v>291</v>
      </c>
      <c r="C70" t="s">
        <v>319</v>
      </c>
      <c r="D70" s="16">
        <f t="shared" si="5"/>
        <v>73099.009900990102</v>
      </c>
      <c r="E70" s="17">
        <v>486</v>
      </c>
      <c r="F70" s="18">
        <v>6.6485168630637951E-3</v>
      </c>
      <c r="G70" s="11" t="s">
        <v>249</v>
      </c>
      <c r="H70" s="11" t="s">
        <v>249</v>
      </c>
      <c r="I70">
        <v>212</v>
      </c>
      <c r="J70">
        <v>1114</v>
      </c>
      <c r="K70" s="18">
        <v>2.9001760801842069E-3</v>
      </c>
      <c r="L70" s="18">
        <v>1.5239604496817011E-2</v>
      </c>
      <c r="M70" s="3" t="s">
        <v>48</v>
      </c>
      <c r="N70">
        <v>2000</v>
      </c>
      <c r="O70">
        <v>2000</v>
      </c>
      <c r="P70" t="s">
        <v>320</v>
      </c>
      <c r="Q70">
        <v>1</v>
      </c>
    </row>
    <row r="71" spans="1:17" ht="17.45" customHeight="1">
      <c r="A71" s="24" t="s">
        <v>80</v>
      </c>
      <c r="B71" t="s">
        <v>291</v>
      </c>
      <c r="C71" t="s">
        <v>321</v>
      </c>
      <c r="D71" s="16">
        <f t="shared" si="5"/>
        <v>79792.802617230089</v>
      </c>
      <c r="E71" s="17">
        <v>591</v>
      </c>
      <c r="F71" s="18">
        <v>7.4066830668306693E-3</v>
      </c>
      <c r="G71" s="11" t="s">
        <v>249</v>
      </c>
      <c r="H71" s="11" t="s">
        <v>249</v>
      </c>
      <c r="I71">
        <v>336</v>
      </c>
      <c r="J71">
        <v>1039</v>
      </c>
      <c r="K71" s="18">
        <v>4.2109061090610913E-3</v>
      </c>
      <c r="L71" s="18">
        <v>1.302122454557879E-2</v>
      </c>
      <c r="M71" s="3" t="s">
        <v>48</v>
      </c>
      <c r="N71">
        <v>2007</v>
      </c>
      <c r="O71">
        <v>2007</v>
      </c>
      <c r="P71" t="s">
        <v>322</v>
      </c>
      <c r="Q71" s="3">
        <v>1</v>
      </c>
    </row>
    <row r="72" spans="1:17" ht="17.45" customHeight="1">
      <c r="A72" s="24" t="s">
        <v>80</v>
      </c>
      <c r="B72" t="s">
        <v>291</v>
      </c>
      <c r="C72" t="s">
        <v>323</v>
      </c>
      <c r="D72" s="16">
        <f t="shared" si="5"/>
        <v>76767.653758542147</v>
      </c>
      <c r="E72" s="17">
        <v>347</v>
      </c>
      <c r="F72" s="18">
        <v>4.5201329337408386E-3</v>
      </c>
      <c r="G72" s="11" t="s">
        <v>249</v>
      </c>
      <c r="H72" s="11" t="s">
        <v>249</v>
      </c>
      <c r="I72">
        <v>219</v>
      </c>
      <c r="J72">
        <v>551</v>
      </c>
      <c r="K72" s="18">
        <v>2.8527640129373012E-3</v>
      </c>
      <c r="L72" s="18">
        <v>7.177502151271475E-3</v>
      </c>
      <c r="M72" s="3" t="s">
        <v>48</v>
      </c>
      <c r="N72">
        <v>2007</v>
      </c>
      <c r="O72">
        <v>2007</v>
      </c>
      <c r="P72" t="s">
        <v>324</v>
      </c>
      <c r="Q72">
        <v>1</v>
      </c>
    </row>
    <row r="73" spans="1:17" ht="17.45" customHeight="1">
      <c r="A73" s="24" t="s">
        <v>84</v>
      </c>
      <c r="B73" t="s">
        <v>291</v>
      </c>
      <c r="C73" t="s">
        <v>325</v>
      </c>
      <c r="D73" s="9">
        <v>6510</v>
      </c>
      <c r="E73" s="9">
        <v>52</v>
      </c>
      <c r="F73" s="3">
        <v>8.0000000000000002E-3</v>
      </c>
      <c r="G73" s="3">
        <v>1.0999999999999999E-2</v>
      </c>
      <c r="H73" t="s">
        <v>326</v>
      </c>
      <c r="I73" s="9" t="s">
        <v>249</v>
      </c>
      <c r="J73" s="9" t="s">
        <v>249</v>
      </c>
      <c r="K73" s="9" t="s">
        <v>249</v>
      </c>
      <c r="L73" s="9" t="s">
        <v>249</v>
      </c>
      <c r="M73" s="3" t="s">
        <v>48</v>
      </c>
      <c r="N73">
        <v>1999</v>
      </c>
      <c r="O73">
        <v>1999</v>
      </c>
      <c r="P73" t="s">
        <v>327</v>
      </c>
      <c r="Q73">
        <v>2</v>
      </c>
    </row>
    <row r="74" spans="1:17" ht="17.45" customHeight="1">
      <c r="A74" s="24" t="s">
        <v>84</v>
      </c>
      <c r="B74" t="s">
        <v>291</v>
      </c>
      <c r="C74" s="15" t="s">
        <v>328</v>
      </c>
      <c r="D74" s="9">
        <v>6510</v>
      </c>
      <c r="E74" s="9">
        <v>102</v>
      </c>
      <c r="F74" s="3">
        <v>1.6E-2</v>
      </c>
      <c r="G74" s="3">
        <v>2.3E-2</v>
      </c>
      <c r="H74" t="s">
        <v>326</v>
      </c>
      <c r="I74" s="9" t="s">
        <v>249</v>
      </c>
      <c r="J74" s="9" t="s">
        <v>249</v>
      </c>
      <c r="K74" s="9" t="s">
        <v>249</v>
      </c>
      <c r="L74" s="9" t="s">
        <v>249</v>
      </c>
      <c r="M74" s="3" t="s">
        <v>48</v>
      </c>
      <c r="N74">
        <v>2000</v>
      </c>
      <c r="O74">
        <v>2000</v>
      </c>
      <c r="P74" t="s">
        <v>329</v>
      </c>
      <c r="Q74">
        <v>2</v>
      </c>
    </row>
    <row r="75" spans="1:17" ht="17.45" customHeight="1">
      <c r="A75" s="24" t="s">
        <v>84</v>
      </c>
      <c r="B75" t="s">
        <v>291</v>
      </c>
      <c r="C75" t="s">
        <v>330</v>
      </c>
      <c r="D75" s="9">
        <v>7547</v>
      </c>
      <c r="E75" s="9">
        <v>73</v>
      </c>
      <c r="F75" s="3">
        <v>0.01</v>
      </c>
      <c r="G75" s="3">
        <v>1.0999999999999999E-2</v>
      </c>
      <c r="H75" t="s">
        <v>326</v>
      </c>
      <c r="I75" s="9" t="s">
        <v>249</v>
      </c>
      <c r="J75" s="9" t="s">
        <v>249</v>
      </c>
      <c r="K75" s="9" t="s">
        <v>249</v>
      </c>
      <c r="L75" s="9" t="s">
        <v>249</v>
      </c>
      <c r="M75" s="3" t="s">
        <v>48</v>
      </c>
      <c r="N75">
        <v>1999</v>
      </c>
      <c r="O75">
        <v>1999</v>
      </c>
      <c r="P75" t="s">
        <v>327</v>
      </c>
      <c r="Q75">
        <v>2</v>
      </c>
    </row>
    <row r="76" spans="1:17" ht="17.45" customHeight="1">
      <c r="A76" s="24" t="s">
        <v>84</v>
      </c>
      <c r="B76" t="s">
        <v>291</v>
      </c>
      <c r="C76" s="15" t="s">
        <v>331</v>
      </c>
      <c r="D76" s="9">
        <v>7547</v>
      </c>
      <c r="E76" s="9">
        <v>652</v>
      </c>
      <c r="F76" s="3">
        <v>8.5999999999999993E-2</v>
      </c>
      <c r="G76" s="3">
        <v>7.4999999999999997E-2</v>
      </c>
      <c r="H76" t="s">
        <v>326</v>
      </c>
      <c r="I76" s="9" t="s">
        <v>249</v>
      </c>
      <c r="J76" s="9" t="s">
        <v>249</v>
      </c>
      <c r="K76" s="9" t="s">
        <v>249</v>
      </c>
      <c r="L76" s="9" t="s">
        <v>249</v>
      </c>
      <c r="M76" s="3" t="s">
        <v>48</v>
      </c>
      <c r="N76">
        <v>2000</v>
      </c>
      <c r="O76">
        <v>2000</v>
      </c>
      <c r="P76" t="s">
        <v>329</v>
      </c>
      <c r="Q76">
        <v>2</v>
      </c>
    </row>
    <row r="77" spans="1:17" ht="17.45" customHeight="1">
      <c r="A77" s="24" t="s">
        <v>84</v>
      </c>
      <c r="B77" t="s">
        <v>291</v>
      </c>
      <c r="C77" t="s">
        <v>332</v>
      </c>
      <c r="D77" s="9">
        <v>26867</v>
      </c>
      <c r="E77" s="9">
        <v>6260</v>
      </c>
      <c r="F77" s="3">
        <v>0.23300000000000001</v>
      </c>
      <c r="G77" s="3">
        <v>0.161</v>
      </c>
      <c r="H77" t="s">
        <v>326</v>
      </c>
      <c r="I77" s="9" t="s">
        <v>249</v>
      </c>
      <c r="J77" s="9" t="s">
        <v>249</v>
      </c>
      <c r="K77" s="9" t="s">
        <v>249</v>
      </c>
      <c r="L77" s="9" t="s">
        <v>249</v>
      </c>
      <c r="M77" s="3" t="s">
        <v>48</v>
      </c>
      <c r="N77">
        <v>1999</v>
      </c>
      <c r="O77">
        <v>1999</v>
      </c>
      <c r="P77" t="s">
        <v>327</v>
      </c>
      <c r="Q77">
        <v>2</v>
      </c>
    </row>
    <row r="78" spans="1:17" ht="17.45" customHeight="1">
      <c r="A78" s="24" t="s">
        <v>84</v>
      </c>
      <c r="B78" t="s">
        <v>291</v>
      </c>
      <c r="C78" s="15" t="s">
        <v>333</v>
      </c>
      <c r="D78" s="9">
        <v>26867</v>
      </c>
      <c r="E78" s="9">
        <v>13622</v>
      </c>
      <c r="F78" s="3">
        <v>0.50700000000000001</v>
      </c>
      <c r="G78" s="3">
        <v>0.16300000000000001</v>
      </c>
      <c r="H78" t="s">
        <v>326</v>
      </c>
      <c r="I78" s="9" t="s">
        <v>249</v>
      </c>
      <c r="J78" s="9" t="s">
        <v>249</v>
      </c>
      <c r="K78" s="9" t="s">
        <v>249</v>
      </c>
      <c r="L78" s="9" t="s">
        <v>249</v>
      </c>
      <c r="M78" s="3" t="s">
        <v>48</v>
      </c>
      <c r="N78">
        <v>2000</v>
      </c>
      <c r="O78">
        <v>2000</v>
      </c>
      <c r="P78" t="s">
        <v>329</v>
      </c>
      <c r="Q78">
        <v>2</v>
      </c>
    </row>
    <row r="79" spans="1:17" ht="17.45" customHeight="1">
      <c r="A79" s="24" t="s">
        <v>84</v>
      </c>
      <c r="B79" t="s">
        <v>291</v>
      </c>
      <c r="C79" t="s">
        <v>334</v>
      </c>
      <c r="D79" s="9">
        <v>54829</v>
      </c>
      <c r="E79" s="9">
        <v>1480</v>
      </c>
      <c r="F79" s="3">
        <v>2.7E-2</v>
      </c>
      <c r="G79" s="3">
        <v>2.3E-2</v>
      </c>
      <c r="H79" t="s">
        <v>326</v>
      </c>
      <c r="I79" s="9" t="s">
        <v>249</v>
      </c>
      <c r="J79" s="9" t="s">
        <v>249</v>
      </c>
      <c r="K79" s="9" t="s">
        <v>249</v>
      </c>
      <c r="L79" s="9" t="s">
        <v>249</v>
      </c>
      <c r="M79" s="3" t="s">
        <v>48</v>
      </c>
      <c r="N79">
        <v>1999</v>
      </c>
      <c r="O79">
        <v>1999</v>
      </c>
      <c r="P79" t="s">
        <v>327</v>
      </c>
      <c r="Q79">
        <v>2</v>
      </c>
    </row>
    <row r="80" spans="1:17" ht="17.45" customHeight="1">
      <c r="A80" s="24" t="s">
        <v>84</v>
      </c>
      <c r="B80" t="s">
        <v>291</v>
      </c>
      <c r="C80" s="15" t="s">
        <v>335</v>
      </c>
      <c r="D80" s="9">
        <v>54829</v>
      </c>
      <c r="E80" s="9">
        <v>493</v>
      </c>
      <c r="F80" s="3">
        <v>8.9999999999999993E-3</v>
      </c>
      <c r="G80" s="3">
        <v>1.4E-2</v>
      </c>
      <c r="H80" t="s">
        <v>326</v>
      </c>
      <c r="I80" s="9" t="s">
        <v>249</v>
      </c>
      <c r="J80" s="9" t="s">
        <v>249</v>
      </c>
      <c r="K80" s="9" t="s">
        <v>249</v>
      </c>
      <c r="L80" s="9" t="s">
        <v>249</v>
      </c>
      <c r="M80" s="3" t="s">
        <v>48</v>
      </c>
      <c r="N80">
        <v>2000</v>
      </c>
      <c r="O80">
        <v>2000</v>
      </c>
      <c r="P80" t="s">
        <v>329</v>
      </c>
      <c r="Q80">
        <v>2</v>
      </c>
    </row>
    <row r="81" spans="1:17" ht="17.45" customHeight="1">
      <c r="A81" s="24" t="s">
        <v>84</v>
      </c>
      <c r="B81" t="s">
        <v>291</v>
      </c>
      <c r="C81" t="s">
        <v>336</v>
      </c>
      <c r="D81" s="9">
        <v>3198</v>
      </c>
      <c r="E81" s="9">
        <v>47</v>
      </c>
      <c r="F81" s="3">
        <v>1.4999999999999999E-2</v>
      </c>
      <c r="G81" s="3">
        <v>1.9E-2</v>
      </c>
      <c r="H81" t="s">
        <v>326</v>
      </c>
      <c r="I81" s="9" t="s">
        <v>249</v>
      </c>
      <c r="J81" s="9" t="s">
        <v>249</v>
      </c>
      <c r="K81" s="9" t="s">
        <v>249</v>
      </c>
      <c r="L81" s="9" t="s">
        <v>249</v>
      </c>
      <c r="M81" s="3" t="s">
        <v>48</v>
      </c>
      <c r="N81">
        <v>1999</v>
      </c>
      <c r="O81">
        <v>1999</v>
      </c>
      <c r="P81" t="s">
        <v>327</v>
      </c>
      <c r="Q81">
        <v>2</v>
      </c>
    </row>
    <row r="82" spans="1:17" ht="17.45" customHeight="1">
      <c r="A82" s="24" t="s">
        <v>84</v>
      </c>
      <c r="B82" t="s">
        <v>291</v>
      </c>
      <c r="C82" s="15" t="s">
        <v>337</v>
      </c>
      <c r="D82" s="9">
        <v>3194</v>
      </c>
      <c r="E82" s="9">
        <v>981</v>
      </c>
      <c r="F82" s="3">
        <v>0.307</v>
      </c>
      <c r="G82" s="3">
        <v>0.24399999999999999</v>
      </c>
      <c r="H82" t="s">
        <v>326</v>
      </c>
      <c r="I82" s="9" t="s">
        <v>249</v>
      </c>
      <c r="J82" s="9" t="s">
        <v>249</v>
      </c>
      <c r="K82" s="9" t="s">
        <v>249</v>
      </c>
      <c r="L82" s="9" t="s">
        <v>249</v>
      </c>
      <c r="M82" s="3" t="s">
        <v>48</v>
      </c>
      <c r="N82">
        <v>2000</v>
      </c>
      <c r="O82">
        <v>2000</v>
      </c>
      <c r="P82" t="s">
        <v>329</v>
      </c>
      <c r="Q82">
        <v>2</v>
      </c>
    </row>
    <row r="83" spans="1:17" ht="17.45" customHeight="1">
      <c r="A83" s="24" t="s">
        <v>84</v>
      </c>
      <c r="B83" t="s">
        <v>291</v>
      </c>
      <c r="C83" t="s">
        <v>338</v>
      </c>
      <c r="D83" s="9">
        <v>2021</v>
      </c>
      <c r="E83" s="9">
        <v>68</v>
      </c>
      <c r="F83" s="3">
        <v>3.4000000000000002E-2</v>
      </c>
      <c r="G83" s="3">
        <v>5.6000000000000001E-2</v>
      </c>
      <c r="H83" t="s">
        <v>326</v>
      </c>
      <c r="I83" s="9" t="s">
        <v>249</v>
      </c>
      <c r="J83" s="9" t="s">
        <v>249</v>
      </c>
      <c r="K83" s="9" t="s">
        <v>249</v>
      </c>
      <c r="L83" s="9" t="s">
        <v>249</v>
      </c>
      <c r="M83" s="3" t="s">
        <v>48</v>
      </c>
      <c r="N83">
        <v>1999</v>
      </c>
      <c r="O83">
        <v>1999</v>
      </c>
      <c r="P83" t="s">
        <v>327</v>
      </c>
      <c r="Q83">
        <v>2</v>
      </c>
    </row>
    <row r="84" spans="1:17" ht="17.45" customHeight="1">
      <c r="A84" s="24" t="s">
        <v>84</v>
      </c>
      <c r="B84" t="s">
        <v>291</v>
      </c>
      <c r="C84" s="15" t="s">
        <v>339</v>
      </c>
      <c r="D84" s="9">
        <v>2027</v>
      </c>
      <c r="E84" s="9">
        <v>0</v>
      </c>
      <c r="F84" s="3">
        <v>0</v>
      </c>
      <c r="G84" s="3">
        <v>0</v>
      </c>
      <c r="H84" t="s">
        <v>326</v>
      </c>
      <c r="I84" s="9" t="s">
        <v>249</v>
      </c>
      <c r="J84" s="9" t="s">
        <v>249</v>
      </c>
      <c r="K84" s="9" t="s">
        <v>249</v>
      </c>
      <c r="L84" s="9" t="s">
        <v>249</v>
      </c>
      <c r="M84" s="3" t="s">
        <v>48</v>
      </c>
      <c r="N84">
        <v>2000</v>
      </c>
      <c r="O84">
        <v>2000</v>
      </c>
      <c r="P84" t="s">
        <v>329</v>
      </c>
      <c r="Q84">
        <v>2</v>
      </c>
    </row>
    <row r="85" spans="1:17" ht="17.45" customHeight="1">
      <c r="A85" s="24" t="s">
        <v>84</v>
      </c>
      <c r="B85" t="s">
        <v>291</v>
      </c>
      <c r="C85" t="s">
        <v>340</v>
      </c>
      <c r="D85" s="9">
        <v>7589</v>
      </c>
      <c r="E85" s="9">
        <v>38544</v>
      </c>
      <c r="F85" s="3">
        <v>5.07</v>
      </c>
      <c r="G85" s="3">
        <v>1.54</v>
      </c>
      <c r="H85" t="s">
        <v>326</v>
      </c>
      <c r="I85" s="9" t="s">
        <v>249</v>
      </c>
      <c r="J85" s="9" t="s">
        <v>249</v>
      </c>
      <c r="K85" s="9" t="s">
        <v>249</v>
      </c>
      <c r="L85" s="9" t="s">
        <v>249</v>
      </c>
      <c r="M85" s="3" t="s">
        <v>48</v>
      </c>
      <c r="N85">
        <v>1999</v>
      </c>
      <c r="O85">
        <v>1999</v>
      </c>
      <c r="P85" t="s">
        <v>327</v>
      </c>
      <c r="Q85">
        <v>2</v>
      </c>
    </row>
    <row r="86" spans="1:17" ht="17.45" customHeight="1">
      <c r="A86" s="24" t="s">
        <v>84</v>
      </c>
      <c r="B86" t="s">
        <v>291</v>
      </c>
      <c r="C86" s="15" t="s">
        <v>341</v>
      </c>
      <c r="D86" s="9">
        <v>7589</v>
      </c>
      <c r="E86" s="9">
        <v>0</v>
      </c>
      <c r="F86" s="3">
        <v>0</v>
      </c>
      <c r="G86" s="3">
        <v>0</v>
      </c>
      <c r="H86" t="s">
        <v>326</v>
      </c>
      <c r="I86" s="9" t="s">
        <v>249</v>
      </c>
      <c r="J86" s="9" t="s">
        <v>249</v>
      </c>
      <c r="K86" s="9" t="s">
        <v>249</v>
      </c>
      <c r="L86" s="9" t="s">
        <v>249</v>
      </c>
      <c r="M86" s="3" t="s">
        <v>48</v>
      </c>
      <c r="N86">
        <v>2000</v>
      </c>
      <c r="O86">
        <v>2000</v>
      </c>
      <c r="P86" t="s">
        <v>329</v>
      </c>
      <c r="Q86">
        <v>2</v>
      </c>
    </row>
    <row r="87" spans="1:17" ht="17.45" customHeight="1">
      <c r="A87" s="24" t="s">
        <v>84</v>
      </c>
      <c r="B87" t="s">
        <v>291</v>
      </c>
      <c r="C87" t="s">
        <v>342</v>
      </c>
      <c r="D87" s="9">
        <v>2335</v>
      </c>
      <c r="E87" s="9">
        <v>198</v>
      </c>
      <c r="F87" s="3">
        <v>8.5000000000000006E-2</v>
      </c>
      <c r="G87" s="3">
        <v>6.4000000000000001E-2</v>
      </c>
      <c r="H87" t="s">
        <v>326</v>
      </c>
      <c r="I87" s="9" t="s">
        <v>249</v>
      </c>
      <c r="J87" s="9" t="s">
        <v>249</v>
      </c>
      <c r="K87" s="9" t="s">
        <v>249</v>
      </c>
      <c r="L87" s="9" t="s">
        <v>249</v>
      </c>
      <c r="M87" s="3" t="s">
        <v>48</v>
      </c>
      <c r="N87">
        <v>1999</v>
      </c>
      <c r="O87">
        <v>1999</v>
      </c>
      <c r="P87" t="s">
        <v>327</v>
      </c>
      <c r="Q87">
        <v>2</v>
      </c>
    </row>
    <row r="88" spans="1:17" ht="17.45" customHeight="1">
      <c r="A88" s="24" t="s">
        <v>84</v>
      </c>
      <c r="B88" t="s">
        <v>291</v>
      </c>
      <c r="C88" s="15" t="s">
        <v>343</v>
      </c>
      <c r="D88" s="9">
        <v>2336</v>
      </c>
      <c r="E88" s="9">
        <v>1414</v>
      </c>
      <c r="F88" s="3">
        <v>0.60499999999999998</v>
      </c>
      <c r="G88" s="3">
        <v>0.161</v>
      </c>
      <c r="H88" t="s">
        <v>326</v>
      </c>
      <c r="I88" s="9" t="s">
        <v>249</v>
      </c>
      <c r="J88" s="9" t="s">
        <v>249</v>
      </c>
      <c r="K88" s="9" t="s">
        <v>249</v>
      </c>
      <c r="L88" s="9" t="s">
        <v>249</v>
      </c>
      <c r="M88" s="3" t="s">
        <v>48</v>
      </c>
      <c r="N88">
        <v>2000</v>
      </c>
      <c r="O88">
        <v>2000</v>
      </c>
      <c r="P88" t="s">
        <v>329</v>
      </c>
      <c r="Q88">
        <v>2</v>
      </c>
    </row>
    <row r="89" spans="1:17" ht="17.45" customHeight="1">
      <c r="A89" s="24" t="s">
        <v>84</v>
      </c>
      <c r="B89" t="s">
        <v>291</v>
      </c>
      <c r="C89" t="s">
        <v>344</v>
      </c>
      <c r="D89" s="9">
        <v>6662</v>
      </c>
      <c r="E89" s="9">
        <v>54</v>
      </c>
      <c r="F89" s="3">
        <v>8.0000000000000002E-3</v>
      </c>
      <c r="G89" s="3">
        <v>1.9E-2</v>
      </c>
      <c r="H89" t="s">
        <v>326</v>
      </c>
      <c r="I89" s="9" t="s">
        <v>249</v>
      </c>
      <c r="J89" s="9" t="s">
        <v>249</v>
      </c>
      <c r="K89" s="9" t="s">
        <v>249</v>
      </c>
      <c r="L89" s="9" t="s">
        <v>249</v>
      </c>
      <c r="M89" s="3" t="s">
        <v>48</v>
      </c>
      <c r="N89">
        <v>1999</v>
      </c>
      <c r="O89">
        <v>1999</v>
      </c>
      <c r="P89" t="s">
        <v>327</v>
      </c>
      <c r="Q89">
        <v>2</v>
      </c>
    </row>
    <row r="90" spans="1:17" ht="17.45" customHeight="1">
      <c r="A90" s="24" t="s">
        <v>84</v>
      </c>
      <c r="B90" t="s">
        <v>291</v>
      </c>
      <c r="C90" s="15" t="s">
        <v>345</v>
      </c>
      <c r="D90" s="9">
        <v>6661</v>
      </c>
      <c r="E90" s="9">
        <v>700</v>
      </c>
      <c r="F90" s="3">
        <v>0.105</v>
      </c>
      <c r="G90" s="3">
        <v>2.5000000000000001E-2</v>
      </c>
      <c r="H90" t="s">
        <v>326</v>
      </c>
      <c r="I90" s="9" t="s">
        <v>249</v>
      </c>
      <c r="J90" s="9" t="s">
        <v>249</v>
      </c>
      <c r="K90" s="9" t="s">
        <v>249</v>
      </c>
      <c r="L90" s="9" t="s">
        <v>249</v>
      </c>
      <c r="M90" s="3" t="s">
        <v>48</v>
      </c>
      <c r="N90">
        <v>2000</v>
      </c>
      <c r="O90">
        <v>2000</v>
      </c>
      <c r="P90" t="s">
        <v>329</v>
      </c>
      <c r="Q90">
        <v>2</v>
      </c>
    </row>
    <row r="91" spans="1:17" ht="17.45" customHeight="1">
      <c r="A91" s="24" t="s">
        <v>84</v>
      </c>
      <c r="B91" t="s">
        <v>291</v>
      </c>
      <c r="C91" t="s">
        <v>346</v>
      </c>
      <c r="D91" s="9">
        <v>7456</v>
      </c>
      <c r="E91" s="9">
        <v>55</v>
      </c>
      <c r="F91" s="3">
        <v>7.0000000000000001E-3</v>
      </c>
      <c r="G91" s="3">
        <v>1.4999999999999999E-2</v>
      </c>
      <c r="H91" t="s">
        <v>326</v>
      </c>
      <c r="I91" s="9" t="s">
        <v>249</v>
      </c>
      <c r="J91" s="9" t="s">
        <v>249</v>
      </c>
      <c r="K91" s="9" t="s">
        <v>249</v>
      </c>
      <c r="L91" s="9" t="s">
        <v>249</v>
      </c>
      <c r="M91" s="3" t="s">
        <v>48</v>
      </c>
      <c r="N91">
        <v>1999</v>
      </c>
      <c r="O91">
        <v>1999</v>
      </c>
      <c r="P91" t="s">
        <v>327</v>
      </c>
      <c r="Q91">
        <v>2</v>
      </c>
    </row>
    <row r="92" spans="1:17" ht="17.45" customHeight="1">
      <c r="A92" s="24" t="s">
        <v>84</v>
      </c>
      <c r="B92" t="s">
        <v>291</v>
      </c>
      <c r="C92" s="15" t="s">
        <v>347</v>
      </c>
      <c r="D92" s="9">
        <v>6690</v>
      </c>
      <c r="E92" s="9">
        <v>313</v>
      </c>
      <c r="F92" s="3">
        <v>4.7E-2</v>
      </c>
      <c r="G92" s="3">
        <v>6.4000000000000001E-2</v>
      </c>
      <c r="H92" t="s">
        <v>326</v>
      </c>
      <c r="I92" s="9" t="s">
        <v>249</v>
      </c>
      <c r="J92" s="9" t="s">
        <v>249</v>
      </c>
      <c r="K92" s="9" t="s">
        <v>249</v>
      </c>
      <c r="L92" s="9" t="s">
        <v>249</v>
      </c>
      <c r="M92" s="3" t="s">
        <v>48</v>
      </c>
      <c r="N92">
        <v>2000</v>
      </c>
      <c r="O92">
        <v>2000</v>
      </c>
      <c r="P92" t="s">
        <v>329</v>
      </c>
      <c r="Q92">
        <v>2</v>
      </c>
    </row>
    <row r="93" spans="1:17" ht="17.45" customHeight="1">
      <c r="A93" s="24" t="s">
        <v>84</v>
      </c>
      <c r="B93" t="s">
        <v>291</v>
      </c>
      <c r="C93" t="s">
        <v>348</v>
      </c>
      <c r="D93" s="9">
        <v>1829</v>
      </c>
      <c r="E93" s="9">
        <v>310</v>
      </c>
      <c r="F93" s="3">
        <v>0.17</v>
      </c>
      <c r="G93" s="3">
        <v>0.156</v>
      </c>
      <c r="H93" t="s">
        <v>326</v>
      </c>
      <c r="I93" s="9" t="s">
        <v>249</v>
      </c>
      <c r="J93" s="9" t="s">
        <v>249</v>
      </c>
      <c r="K93" s="9" t="s">
        <v>249</v>
      </c>
      <c r="L93" s="9" t="s">
        <v>249</v>
      </c>
      <c r="M93" s="3" t="s">
        <v>48</v>
      </c>
      <c r="N93">
        <v>1999</v>
      </c>
      <c r="O93">
        <v>1999</v>
      </c>
      <c r="P93" t="s">
        <v>327</v>
      </c>
      <c r="Q93">
        <v>2</v>
      </c>
    </row>
    <row r="94" spans="1:17" ht="17.45" customHeight="1">
      <c r="A94" s="24" t="s">
        <v>84</v>
      </c>
      <c r="B94" t="s">
        <v>291</v>
      </c>
      <c r="C94" t="s">
        <v>349</v>
      </c>
      <c r="D94" s="9">
        <v>5324</v>
      </c>
      <c r="E94" s="9">
        <v>344</v>
      </c>
      <c r="F94" s="3">
        <v>6.5000000000000002E-2</v>
      </c>
      <c r="G94" s="3">
        <v>7.9000000000000001E-2</v>
      </c>
      <c r="H94" t="s">
        <v>326</v>
      </c>
      <c r="I94" s="9" t="s">
        <v>249</v>
      </c>
      <c r="J94" s="9" t="s">
        <v>249</v>
      </c>
      <c r="K94" s="9" t="s">
        <v>249</v>
      </c>
      <c r="L94" s="9" t="s">
        <v>249</v>
      </c>
      <c r="M94" s="3" t="s">
        <v>48</v>
      </c>
      <c r="N94">
        <v>1999</v>
      </c>
      <c r="O94">
        <v>1999</v>
      </c>
      <c r="P94" t="s">
        <v>327</v>
      </c>
      <c r="Q94">
        <v>2</v>
      </c>
    </row>
    <row r="95" spans="1:17" ht="17.45" customHeight="1">
      <c r="A95" s="24" t="s">
        <v>84</v>
      </c>
      <c r="B95" t="s">
        <v>291</v>
      </c>
      <c r="C95" t="s">
        <v>350</v>
      </c>
      <c r="D95" s="9">
        <v>132169</v>
      </c>
      <c r="E95" s="9">
        <v>8987</v>
      </c>
      <c r="F95" s="3">
        <v>6.8000000000000005E-2</v>
      </c>
      <c r="G95" s="3">
        <v>4.5999999999999999E-2</v>
      </c>
      <c r="H95" t="s">
        <v>326</v>
      </c>
      <c r="I95" s="9" t="s">
        <v>249</v>
      </c>
      <c r="J95" s="9" t="s">
        <v>249</v>
      </c>
      <c r="K95" s="9" t="s">
        <v>249</v>
      </c>
      <c r="L95" s="9" t="s">
        <v>249</v>
      </c>
      <c r="M95" s="3" t="s">
        <v>48</v>
      </c>
      <c r="N95">
        <v>1999</v>
      </c>
      <c r="O95">
        <v>1999</v>
      </c>
      <c r="P95" t="s">
        <v>327</v>
      </c>
      <c r="Q95">
        <v>2</v>
      </c>
    </row>
    <row r="96" spans="1:17" ht="17.45" customHeight="1">
      <c r="A96" s="24" t="s">
        <v>84</v>
      </c>
      <c r="B96" t="s">
        <v>291</v>
      </c>
      <c r="C96" s="15" t="s">
        <v>351</v>
      </c>
      <c r="D96" s="9">
        <v>128703</v>
      </c>
      <c r="E96" s="9">
        <v>18276</v>
      </c>
      <c r="F96" s="3">
        <v>0.14199999999999999</v>
      </c>
      <c r="G96" s="3">
        <v>3.6999999999999998E-2</v>
      </c>
      <c r="H96" t="s">
        <v>326</v>
      </c>
      <c r="I96" s="9" t="s">
        <v>249</v>
      </c>
      <c r="J96" s="9" t="s">
        <v>249</v>
      </c>
      <c r="K96" s="9" t="s">
        <v>249</v>
      </c>
      <c r="L96" s="9" t="s">
        <v>249</v>
      </c>
      <c r="M96" s="3" t="s">
        <v>48</v>
      </c>
      <c r="N96">
        <v>2000</v>
      </c>
      <c r="O96">
        <v>2000</v>
      </c>
      <c r="P96" t="s">
        <v>329</v>
      </c>
      <c r="Q96">
        <v>2</v>
      </c>
    </row>
    <row r="97" spans="1:17" ht="17.45" customHeight="1">
      <c r="A97" s="24" t="s">
        <v>84</v>
      </c>
      <c r="B97" t="s">
        <v>311</v>
      </c>
      <c r="C97" s="15" t="s">
        <v>325</v>
      </c>
      <c r="D97" s="9">
        <v>6510</v>
      </c>
      <c r="E97" s="9">
        <v>18101</v>
      </c>
      <c r="F97" s="3">
        <v>2.78</v>
      </c>
      <c r="G97" s="3">
        <v>0.83</v>
      </c>
      <c r="H97" t="s">
        <v>326</v>
      </c>
      <c r="I97" s="9" t="s">
        <v>249</v>
      </c>
      <c r="J97" s="9" t="s">
        <v>249</v>
      </c>
      <c r="K97" s="9" t="s">
        <v>249</v>
      </c>
      <c r="L97" s="9" t="s">
        <v>249</v>
      </c>
      <c r="M97" s="3" t="s">
        <v>48</v>
      </c>
      <c r="N97">
        <v>1999</v>
      </c>
      <c r="O97">
        <v>1999</v>
      </c>
      <c r="P97" t="s">
        <v>327</v>
      </c>
      <c r="Q97">
        <v>2</v>
      </c>
    </row>
    <row r="98" spans="1:17" ht="17.45" customHeight="1">
      <c r="A98" s="24" t="s">
        <v>84</v>
      </c>
      <c r="B98" t="s">
        <v>311</v>
      </c>
      <c r="C98" s="15" t="s">
        <v>328</v>
      </c>
      <c r="D98" s="9">
        <v>6510</v>
      </c>
      <c r="E98" s="9">
        <v>21158</v>
      </c>
      <c r="F98" s="3">
        <v>3.25</v>
      </c>
      <c r="G98" s="3">
        <v>0.51</v>
      </c>
      <c r="H98" t="s">
        <v>326</v>
      </c>
      <c r="I98" s="9" t="s">
        <v>249</v>
      </c>
      <c r="J98" s="9" t="s">
        <v>249</v>
      </c>
      <c r="K98" s="9" t="s">
        <v>249</v>
      </c>
      <c r="L98" s="9" t="s">
        <v>249</v>
      </c>
      <c r="M98" s="3" t="s">
        <v>48</v>
      </c>
      <c r="N98">
        <v>2000</v>
      </c>
      <c r="O98">
        <v>2000</v>
      </c>
      <c r="P98" t="s">
        <v>329</v>
      </c>
      <c r="Q98">
        <v>2</v>
      </c>
    </row>
    <row r="99" spans="1:17" ht="17.45" customHeight="1">
      <c r="A99" s="24" t="s">
        <v>84</v>
      </c>
      <c r="B99" t="s">
        <v>311</v>
      </c>
      <c r="C99" s="15" t="s">
        <v>330</v>
      </c>
      <c r="D99" s="9">
        <v>7547</v>
      </c>
      <c r="E99" s="9">
        <v>4668</v>
      </c>
      <c r="F99" s="3">
        <v>0.62</v>
      </c>
      <c r="G99" s="3">
        <v>0.28999999999999998</v>
      </c>
      <c r="H99" t="s">
        <v>326</v>
      </c>
      <c r="I99" s="9" t="s">
        <v>249</v>
      </c>
      <c r="J99" s="9" t="s">
        <v>249</v>
      </c>
      <c r="K99" s="9" t="s">
        <v>249</v>
      </c>
      <c r="L99" s="9" t="s">
        <v>249</v>
      </c>
      <c r="M99" s="3" t="s">
        <v>48</v>
      </c>
      <c r="N99">
        <v>1999</v>
      </c>
      <c r="O99">
        <v>1999</v>
      </c>
      <c r="P99" t="s">
        <v>327</v>
      </c>
      <c r="Q99">
        <v>2</v>
      </c>
    </row>
    <row r="100" spans="1:17" ht="17.45" customHeight="1">
      <c r="A100" s="24" t="s">
        <v>84</v>
      </c>
      <c r="B100" t="s">
        <v>311</v>
      </c>
      <c r="C100" t="s">
        <v>331</v>
      </c>
      <c r="D100" s="9">
        <v>7547</v>
      </c>
      <c r="E100" s="9">
        <v>5244</v>
      </c>
      <c r="F100" s="3">
        <v>0.69</v>
      </c>
      <c r="G100" s="3">
        <v>0.23</v>
      </c>
      <c r="H100" t="s">
        <v>326</v>
      </c>
      <c r="I100" s="9" t="s">
        <v>249</v>
      </c>
      <c r="J100" s="9" t="s">
        <v>249</v>
      </c>
      <c r="K100" s="9" t="s">
        <v>249</v>
      </c>
      <c r="L100" s="9" t="s">
        <v>249</v>
      </c>
      <c r="M100" s="3" t="s">
        <v>48</v>
      </c>
      <c r="N100">
        <v>2000</v>
      </c>
      <c r="O100">
        <v>2000</v>
      </c>
      <c r="P100" t="s">
        <v>329</v>
      </c>
      <c r="Q100">
        <v>2</v>
      </c>
    </row>
    <row r="101" spans="1:17" ht="17.45" customHeight="1">
      <c r="A101" s="24" t="s">
        <v>84</v>
      </c>
      <c r="B101" t="s">
        <v>311</v>
      </c>
      <c r="C101" s="15" t="s">
        <v>332</v>
      </c>
      <c r="D101" s="9">
        <v>26867</v>
      </c>
      <c r="E101" s="9">
        <v>25255</v>
      </c>
      <c r="F101" s="3">
        <v>0.94</v>
      </c>
      <c r="G101" s="3">
        <v>0.36</v>
      </c>
      <c r="H101" t="s">
        <v>326</v>
      </c>
      <c r="I101" s="9" t="s">
        <v>249</v>
      </c>
      <c r="J101" s="9" t="s">
        <v>249</v>
      </c>
      <c r="K101" s="9" t="s">
        <v>249</v>
      </c>
      <c r="L101" s="9" t="s">
        <v>249</v>
      </c>
      <c r="M101" s="3" t="s">
        <v>48</v>
      </c>
      <c r="N101">
        <v>1999</v>
      </c>
      <c r="O101">
        <v>1999</v>
      </c>
      <c r="P101" t="s">
        <v>327</v>
      </c>
      <c r="Q101">
        <v>2</v>
      </c>
    </row>
    <row r="102" spans="1:17" ht="17.45" customHeight="1">
      <c r="A102" s="24" t="s">
        <v>84</v>
      </c>
      <c r="B102" t="s">
        <v>311</v>
      </c>
      <c r="C102" t="s">
        <v>333</v>
      </c>
      <c r="D102" s="9">
        <v>26867</v>
      </c>
      <c r="E102" s="9">
        <v>24986</v>
      </c>
      <c r="F102" s="3">
        <v>0.93</v>
      </c>
      <c r="G102" s="3">
        <v>0.25</v>
      </c>
      <c r="H102" t="s">
        <v>326</v>
      </c>
      <c r="I102" s="9" t="s">
        <v>249</v>
      </c>
      <c r="J102" s="9" t="s">
        <v>249</v>
      </c>
      <c r="K102" s="9" t="s">
        <v>249</v>
      </c>
      <c r="L102" s="9" t="s">
        <v>249</v>
      </c>
      <c r="M102" s="3" t="s">
        <v>48</v>
      </c>
      <c r="N102">
        <v>2000</v>
      </c>
      <c r="O102">
        <v>2000</v>
      </c>
      <c r="P102" t="s">
        <v>329</v>
      </c>
      <c r="Q102">
        <v>2</v>
      </c>
    </row>
    <row r="103" spans="1:17" ht="17.45" customHeight="1">
      <c r="A103" s="24" t="s">
        <v>84</v>
      </c>
      <c r="B103" t="s">
        <v>311</v>
      </c>
      <c r="C103" s="15" t="s">
        <v>334</v>
      </c>
      <c r="D103" s="9">
        <v>54829</v>
      </c>
      <c r="E103" s="9">
        <v>44411</v>
      </c>
      <c r="F103" s="3">
        <v>0.81</v>
      </c>
      <c r="G103" s="3">
        <v>0.24</v>
      </c>
      <c r="H103" t="s">
        <v>326</v>
      </c>
      <c r="I103" s="9" t="s">
        <v>249</v>
      </c>
      <c r="J103" s="9" t="s">
        <v>249</v>
      </c>
      <c r="K103" s="9" t="s">
        <v>249</v>
      </c>
      <c r="L103" s="9" t="s">
        <v>249</v>
      </c>
      <c r="M103" s="3" t="s">
        <v>48</v>
      </c>
      <c r="N103">
        <v>1999</v>
      </c>
      <c r="O103">
        <v>1999</v>
      </c>
      <c r="P103" t="s">
        <v>327</v>
      </c>
      <c r="Q103">
        <v>2</v>
      </c>
    </row>
    <row r="104" spans="1:17" ht="17.45" customHeight="1">
      <c r="A104" s="24" t="s">
        <v>84</v>
      </c>
      <c r="B104" t="s">
        <v>311</v>
      </c>
      <c r="C104" t="s">
        <v>335</v>
      </c>
      <c r="D104" s="9">
        <v>54829</v>
      </c>
      <c r="E104" s="9">
        <v>12611</v>
      </c>
      <c r="F104" s="3">
        <v>0.23</v>
      </c>
      <c r="G104" s="3">
        <v>7.0000000000000007E-2</v>
      </c>
      <c r="H104" t="s">
        <v>326</v>
      </c>
      <c r="I104" s="9" t="s">
        <v>249</v>
      </c>
      <c r="J104" s="9" t="s">
        <v>249</v>
      </c>
      <c r="K104" s="9" t="s">
        <v>249</v>
      </c>
      <c r="L104" s="9" t="s">
        <v>249</v>
      </c>
      <c r="M104" s="3" t="s">
        <v>48</v>
      </c>
      <c r="N104">
        <v>2000</v>
      </c>
      <c r="O104">
        <v>2000</v>
      </c>
      <c r="P104" t="s">
        <v>329</v>
      </c>
      <c r="Q104">
        <v>2</v>
      </c>
    </row>
    <row r="105" spans="1:17" ht="17.45" customHeight="1">
      <c r="A105" s="24" t="s">
        <v>84</v>
      </c>
      <c r="B105" t="s">
        <v>311</v>
      </c>
      <c r="C105" s="15" t="s">
        <v>336</v>
      </c>
      <c r="D105" s="9">
        <v>3198</v>
      </c>
      <c r="E105" s="9">
        <v>13120</v>
      </c>
      <c r="F105" s="3">
        <v>4.0999999999999996</v>
      </c>
      <c r="G105" s="3">
        <v>1.62</v>
      </c>
      <c r="H105" t="s">
        <v>326</v>
      </c>
      <c r="I105" s="9" t="s">
        <v>249</v>
      </c>
      <c r="J105" s="9" t="s">
        <v>249</v>
      </c>
      <c r="K105" s="9" t="s">
        <v>249</v>
      </c>
      <c r="L105" s="9" t="s">
        <v>249</v>
      </c>
      <c r="M105" s="3" t="s">
        <v>48</v>
      </c>
      <c r="N105">
        <v>1999</v>
      </c>
      <c r="O105">
        <v>1999</v>
      </c>
      <c r="P105" t="s">
        <v>327</v>
      </c>
      <c r="Q105">
        <v>2</v>
      </c>
    </row>
    <row r="106" spans="1:17" ht="17.45" customHeight="1">
      <c r="A106" s="24" t="s">
        <v>84</v>
      </c>
      <c r="B106" t="s">
        <v>311</v>
      </c>
      <c r="C106" t="s">
        <v>337</v>
      </c>
      <c r="D106" s="9">
        <v>3194</v>
      </c>
      <c r="E106" s="9">
        <v>29814</v>
      </c>
      <c r="F106" s="3">
        <v>9.33</v>
      </c>
      <c r="G106" s="3">
        <v>1.57</v>
      </c>
      <c r="H106" t="s">
        <v>326</v>
      </c>
      <c r="I106" s="9" t="s">
        <v>249</v>
      </c>
      <c r="J106" s="9" t="s">
        <v>249</v>
      </c>
      <c r="K106" s="9" t="s">
        <v>249</v>
      </c>
      <c r="L106" s="9" t="s">
        <v>249</v>
      </c>
      <c r="M106" s="3" t="s">
        <v>48</v>
      </c>
      <c r="N106">
        <v>2000</v>
      </c>
      <c r="O106">
        <v>2000</v>
      </c>
      <c r="P106" t="s">
        <v>329</v>
      </c>
      <c r="Q106">
        <v>2</v>
      </c>
    </row>
    <row r="107" spans="1:17" ht="17.45" customHeight="1">
      <c r="A107" s="24" t="s">
        <v>84</v>
      </c>
      <c r="B107" t="s">
        <v>311</v>
      </c>
      <c r="C107" s="15" t="s">
        <v>338</v>
      </c>
      <c r="D107" s="9">
        <v>2021</v>
      </c>
      <c r="E107" s="9">
        <v>31033</v>
      </c>
      <c r="F107" s="3">
        <v>15.36</v>
      </c>
      <c r="G107" s="3">
        <v>4.66</v>
      </c>
      <c r="H107" t="s">
        <v>326</v>
      </c>
      <c r="I107" s="9" t="s">
        <v>249</v>
      </c>
      <c r="J107" s="9" t="s">
        <v>249</v>
      </c>
      <c r="K107" s="9" t="s">
        <v>249</v>
      </c>
      <c r="L107" s="9" t="s">
        <v>249</v>
      </c>
      <c r="M107" s="3" t="s">
        <v>48</v>
      </c>
      <c r="N107">
        <v>1999</v>
      </c>
      <c r="O107">
        <v>1999</v>
      </c>
      <c r="P107" t="s">
        <v>327</v>
      </c>
      <c r="Q107">
        <v>2</v>
      </c>
    </row>
    <row r="108" spans="1:17" ht="17.45" customHeight="1">
      <c r="A108" s="24" t="s">
        <v>84</v>
      </c>
      <c r="B108" t="s">
        <v>311</v>
      </c>
      <c r="C108" t="s">
        <v>339</v>
      </c>
      <c r="D108" s="9">
        <v>2027</v>
      </c>
      <c r="E108" s="9">
        <v>8209</v>
      </c>
      <c r="F108" s="3">
        <v>4.05</v>
      </c>
      <c r="G108" s="3">
        <v>0.86</v>
      </c>
      <c r="H108" t="s">
        <v>326</v>
      </c>
      <c r="I108" s="9" t="s">
        <v>249</v>
      </c>
      <c r="J108" s="9" t="s">
        <v>249</v>
      </c>
      <c r="K108" s="9" t="s">
        <v>249</v>
      </c>
      <c r="L108" s="9" t="s">
        <v>249</v>
      </c>
      <c r="M108" s="3" t="s">
        <v>48</v>
      </c>
      <c r="N108">
        <v>2000</v>
      </c>
      <c r="O108">
        <v>2000</v>
      </c>
      <c r="P108" t="s">
        <v>329</v>
      </c>
      <c r="Q108">
        <v>2</v>
      </c>
    </row>
    <row r="109" spans="1:17" ht="17.45" customHeight="1">
      <c r="A109" s="24" t="s">
        <v>84</v>
      </c>
      <c r="B109" t="s">
        <v>311</v>
      </c>
      <c r="C109" s="15" t="s">
        <v>340</v>
      </c>
      <c r="D109" s="9">
        <v>7589</v>
      </c>
      <c r="E109" s="9">
        <v>38476</v>
      </c>
      <c r="F109" s="3">
        <v>5.07</v>
      </c>
      <c r="G109" s="3">
        <v>1.54</v>
      </c>
      <c r="H109" t="s">
        <v>326</v>
      </c>
      <c r="I109" s="9" t="s">
        <v>249</v>
      </c>
      <c r="J109" s="9" t="s">
        <v>249</v>
      </c>
      <c r="K109" s="9" t="s">
        <v>249</v>
      </c>
      <c r="L109" s="9" t="s">
        <v>249</v>
      </c>
      <c r="M109" s="3" t="s">
        <v>48</v>
      </c>
      <c r="N109">
        <v>1999</v>
      </c>
      <c r="O109">
        <v>1999</v>
      </c>
      <c r="P109" t="s">
        <v>327</v>
      </c>
      <c r="Q109">
        <v>2</v>
      </c>
    </row>
    <row r="110" spans="1:17" ht="17.45" customHeight="1">
      <c r="A110" s="24" t="s">
        <v>84</v>
      </c>
      <c r="B110" t="s">
        <v>311</v>
      </c>
      <c r="C110" t="s">
        <v>341</v>
      </c>
      <c r="D110" s="9">
        <v>7589</v>
      </c>
      <c r="E110" s="9">
        <v>28990</v>
      </c>
      <c r="F110" s="3">
        <v>3.82</v>
      </c>
      <c r="G110" s="3">
        <v>0.46</v>
      </c>
      <c r="H110" t="s">
        <v>326</v>
      </c>
      <c r="I110" s="9" t="s">
        <v>249</v>
      </c>
      <c r="J110" s="9" t="s">
        <v>249</v>
      </c>
      <c r="K110" s="9" t="s">
        <v>249</v>
      </c>
      <c r="L110" s="9" t="s">
        <v>249</v>
      </c>
      <c r="M110" s="3" t="s">
        <v>48</v>
      </c>
      <c r="N110">
        <v>2000</v>
      </c>
      <c r="O110">
        <v>2000</v>
      </c>
      <c r="P110" t="s">
        <v>329</v>
      </c>
      <c r="Q110">
        <v>2</v>
      </c>
    </row>
    <row r="111" spans="1:17" ht="17.45" customHeight="1">
      <c r="A111" s="24" t="s">
        <v>84</v>
      </c>
      <c r="B111" t="s">
        <v>311</v>
      </c>
      <c r="C111" s="15" t="s">
        <v>342</v>
      </c>
      <c r="D111" s="9">
        <v>2335</v>
      </c>
      <c r="E111" s="9">
        <v>20611</v>
      </c>
      <c r="F111" s="3">
        <v>8.83</v>
      </c>
      <c r="G111" s="3">
        <v>2.34</v>
      </c>
      <c r="H111" t="s">
        <v>326</v>
      </c>
      <c r="I111" s="9" t="s">
        <v>249</v>
      </c>
      <c r="J111" s="9" t="s">
        <v>249</v>
      </c>
      <c r="K111" s="9" t="s">
        <v>249</v>
      </c>
      <c r="L111" s="9" t="s">
        <v>249</v>
      </c>
      <c r="M111" s="3" t="s">
        <v>48</v>
      </c>
      <c r="N111">
        <v>1999</v>
      </c>
      <c r="O111">
        <v>1999</v>
      </c>
      <c r="P111" t="s">
        <v>327</v>
      </c>
      <c r="Q111">
        <v>2</v>
      </c>
    </row>
    <row r="112" spans="1:17" ht="17.45" customHeight="1">
      <c r="A112" s="24" t="s">
        <v>84</v>
      </c>
      <c r="B112" t="s">
        <v>311</v>
      </c>
      <c r="C112" t="s">
        <v>343</v>
      </c>
      <c r="D112" s="9">
        <v>2336</v>
      </c>
      <c r="E112" s="9">
        <v>35886</v>
      </c>
      <c r="F112" s="3">
        <v>15.36</v>
      </c>
      <c r="G112" s="3">
        <v>3.31</v>
      </c>
      <c r="H112" t="s">
        <v>326</v>
      </c>
      <c r="I112" s="9" t="s">
        <v>249</v>
      </c>
      <c r="J112" s="9" t="s">
        <v>249</v>
      </c>
      <c r="K112" s="9" t="s">
        <v>249</v>
      </c>
      <c r="L112" s="9" t="s">
        <v>249</v>
      </c>
      <c r="M112" s="3" t="s">
        <v>48</v>
      </c>
      <c r="N112">
        <v>2000</v>
      </c>
      <c r="O112">
        <v>2000</v>
      </c>
      <c r="P112" t="s">
        <v>329</v>
      </c>
      <c r="Q112">
        <v>2</v>
      </c>
    </row>
    <row r="113" spans="1:17" ht="17.45" customHeight="1">
      <c r="A113" s="24" t="s">
        <v>84</v>
      </c>
      <c r="B113" t="s">
        <v>311</v>
      </c>
      <c r="C113" s="15" t="s">
        <v>344</v>
      </c>
      <c r="D113" s="9">
        <v>6662</v>
      </c>
      <c r="E113" s="9">
        <v>13504</v>
      </c>
      <c r="F113" s="3">
        <v>2.0299999999999998</v>
      </c>
      <c r="G113" s="3">
        <v>0.67</v>
      </c>
      <c r="H113" t="s">
        <v>326</v>
      </c>
      <c r="I113" s="9" t="s">
        <v>249</v>
      </c>
      <c r="J113" s="9" t="s">
        <v>249</v>
      </c>
      <c r="K113" s="9" t="s">
        <v>249</v>
      </c>
      <c r="L113" s="9" t="s">
        <v>249</v>
      </c>
      <c r="M113" s="3" t="s">
        <v>48</v>
      </c>
      <c r="N113">
        <v>1999</v>
      </c>
      <c r="O113">
        <v>1999</v>
      </c>
      <c r="P113" t="s">
        <v>327</v>
      </c>
      <c r="Q113">
        <v>2</v>
      </c>
    </row>
    <row r="114" spans="1:17" ht="17.45" customHeight="1">
      <c r="A114" s="24" t="s">
        <v>84</v>
      </c>
      <c r="B114" t="s">
        <v>311</v>
      </c>
      <c r="C114" t="s">
        <v>345</v>
      </c>
      <c r="D114" s="9">
        <v>6661</v>
      </c>
      <c r="E114" s="9">
        <v>19356</v>
      </c>
      <c r="F114" s="3">
        <v>2.91</v>
      </c>
      <c r="G114" s="3">
        <v>0.6</v>
      </c>
      <c r="H114" t="s">
        <v>326</v>
      </c>
      <c r="I114" s="9" t="s">
        <v>249</v>
      </c>
      <c r="J114" s="9" t="s">
        <v>249</v>
      </c>
      <c r="K114" s="9" t="s">
        <v>249</v>
      </c>
      <c r="L114" s="9" t="s">
        <v>249</v>
      </c>
      <c r="M114" s="3" t="s">
        <v>48</v>
      </c>
      <c r="N114">
        <v>2000</v>
      </c>
      <c r="O114">
        <v>2000</v>
      </c>
      <c r="P114" t="s">
        <v>329</v>
      </c>
      <c r="Q114">
        <v>2</v>
      </c>
    </row>
    <row r="115" spans="1:17" ht="17.45" customHeight="1">
      <c r="A115" s="24" t="s">
        <v>84</v>
      </c>
      <c r="B115" t="s">
        <v>311</v>
      </c>
      <c r="C115" s="15" t="s">
        <v>346</v>
      </c>
      <c r="D115" s="9">
        <v>7456</v>
      </c>
      <c r="E115" s="9">
        <v>11285</v>
      </c>
      <c r="F115" s="3">
        <v>1.51</v>
      </c>
      <c r="G115" s="3">
        <v>0.56000000000000005</v>
      </c>
      <c r="H115" t="s">
        <v>326</v>
      </c>
      <c r="I115" s="9" t="s">
        <v>249</v>
      </c>
      <c r="J115" s="9" t="s">
        <v>249</v>
      </c>
      <c r="K115" s="9" t="s">
        <v>249</v>
      </c>
      <c r="L115" s="9" t="s">
        <v>249</v>
      </c>
      <c r="M115" s="3" t="s">
        <v>48</v>
      </c>
      <c r="N115">
        <v>1999</v>
      </c>
      <c r="O115">
        <v>1999</v>
      </c>
      <c r="P115" t="s">
        <v>327</v>
      </c>
      <c r="Q115">
        <v>2</v>
      </c>
    </row>
    <row r="116" spans="1:17" ht="17.45" customHeight="1">
      <c r="A116" s="24" t="s">
        <v>84</v>
      </c>
      <c r="B116" t="s">
        <v>311</v>
      </c>
      <c r="C116" t="s">
        <v>347</v>
      </c>
      <c r="D116" s="9">
        <v>6690</v>
      </c>
      <c r="E116" s="9">
        <v>13805</v>
      </c>
      <c r="F116" s="3">
        <v>2.06</v>
      </c>
      <c r="G116" s="3">
        <v>1.22</v>
      </c>
      <c r="H116" t="s">
        <v>326</v>
      </c>
      <c r="I116" s="9" t="s">
        <v>249</v>
      </c>
      <c r="J116" s="9" t="s">
        <v>249</v>
      </c>
      <c r="K116" s="9" t="s">
        <v>249</v>
      </c>
      <c r="L116" s="9" t="s">
        <v>249</v>
      </c>
      <c r="M116" s="3" t="s">
        <v>48</v>
      </c>
      <c r="N116">
        <v>2000</v>
      </c>
      <c r="O116">
        <v>2000</v>
      </c>
      <c r="P116" t="s">
        <v>329</v>
      </c>
      <c r="Q116">
        <v>2</v>
      </c>
    </row>
    <row r="117" spans="1:17" ht="17.45" customHeight="1">
      <c r="A117" s="24" t="s">
        <v>84</v>
      </c>
      <c r="B117" t="s">
        <v>311</v>
      </c>
      <c r="C117" s="15" t="s">
        <v>348</v>
      </c>
      <c r="D117" s="9">
        <v>1829</v>
      </c>
      <c r="E117" s="9">
        <v>15240</v>
      </c>
      <c r="F117" s="3">
        <v>8.33</v>
      </c>
      <c r="G117" s="3">
        <v>2.95</v>
      </c>
      <c r="H117" t="s">
        <v>326</v>
      </c>
      <c r="I117" s="9" t="s">
        <v>249</v>
      </c>
      <c r="J117" s="9" t="s">
        <v>249</v>
      </c>
      <c r="K117" s="9" t="s">
        <v>249</v>
      </c>
      <c r="L117" s="9" t="s">
        <v>249</v>
      </c>
      <c r="M117" s="3" t="s">
        <v>48</v>
      </c>
      <c r="N117">
        <v>1999</v>
      </c>
      <c r="O117">
        <v>1999</v>
      </c>
      <c r="P117" t="s">
        <v>327</v>
      </c>
      <c r="Q117">
        <v>2</v>
      </c>
    </row>
    <row r="118" spans="1:17" ht="17.45" customHeight="1">
      <c r="A118" s="24" t="s">
        <v>84</v>
      </c>
      <c r="B118" t="s">
        <v>311</v>
      </c>
      <c r="C118" s="15" t="s">
        <v>349</v>
      </c>
      <c r="D118" s="9">
        <v>5324</v>
      </c>
      <c r="E118" s="9">
        <v>17019</v>
      </c>
      <c r="F118" s="3">
        <v>3.2</v>
      </c>
      <c r="G118" s="3">
        <v>1.5</v>
      </c>
      <c r="H118" t="s">
        <v>326</v>
      </c>
      <c r="I118" s="9" t="s">
        <v>249</v>
      </c>
      <c r="J118" s="9" t="s">
        <v>249</v>
      </c>
      <c r="K118" s="9" t="s">
        <v>249</v>
      </c>
      <c r="L118" s="9" t="s">
        <v>249</v>
      </c>
      <c r="M118" s="3" t="s">
        <v>48</v>
      </c>
      <c r="N118">
        <v>1999</v>
      </c>
      <c r="O118">
        <v>1999</v>
      </c>
      <c r="P118" t="s">
        <v>327</v>
      </c>
      <c r="Q118">
        <v>2</v>
      </c>
    </row>
    <row r="119" spans="1:17" ht="17.45" customHeight="1">
      <c r="A119" s="24" t="s">
        <v>84</v>
      </c>
      <c r="B119" t="s">
        <v>311</v>
      </c>
      <c r="C119" s="15" t="s">
        <v>350</v>
      </c>
      <c r="D119" s="9">
        <v>132169</v>
      </c>
      <c r="E119" s="9">
        <v>252443</v>
      </c>
      <c r="F119" s="3">
        <v>1.91</v>
      </c>
      <c r="G119" s="3">
        <v>0.36</v>
      </c>
      <c r="H119" t="s">
        <v>326</v>
      </c>
      <c r="I119" s="9" t="s">
        <v>249</v>
      </c>
      <c r="J119" s="9" t="s">
        <v>249</v>
      </c>
      <c r="K119" s="9" t="s">
        <v>249</v>
      </c>
      <c r="L119" s="9" t="s">
        <v>249</v>
      </c>
      <c r="M119" s="3" t="s">
        <v>48</v>
      </c>
      <c r="N119">
        <v>1999</v>
      </c>
      <c r="O119">
        <v>1999</v>
      </c>
      <c r="P119" t="s">
        <v>327</v>
      </c>
      <c r="Q119">
        <v>2</v>
      </c>
    </row>
    <row r="120" spans="1:17" ht="17.45" customHeight="1">
      <c r="A120" s="24" t="s">
        <v>84</v>
      </c>
      <c r="B120" t="s">
        <v>311</v>
      </c>
      <c r="C120" s="15" t="s">
        <v>351</v>
      </c>
      <c r="D120" s="9">
        <v>128703</v>
      </c>
      <c r="E120" s="9">
        <v>208499</v>
      </c>
      <c r="F120" s="3">
        <v>1.62</v>
      </c>
      <c r="G120" s="3">
        <v>0.2</v>
      </c>
      <c r="H120" t="s">
        <v>326</v>
      </c>
      <c r="I120" s="9" t="s">
        <v>249</v>
      </c>
      <c r="J120" s="9" t="s">
        <v>249</v>
      </c>
      <c r="K120" s="9" t="s">
        <v>249</v>
      </c>
      <c r="L120" s="9" t="s">
        <v>249</v>
      </c>
      <c r="M120" s="3" t="s">
        <v>48</v>
      </c>
      <c r="N120">
        <v>2000</v>
      </c>
      <c r="O120">
        <v>2000</v>
      </c>
      <c r="P120" t="s">
        <v>329</v>
      </c>
      <c r="Q120">
        <v>2</v>
      </c>
    </row>
    <row r="121" spans="1:17" ht="17.45" customHeight="1">
      <c r="A121" s="24" t="s">
        <v>88</v>
      </c>
      <c r="B121" t="s">
        <v>311</v>
      </c>
      <c r="C121" t="s">
        <v>352</v>
      </c>
      <c r="D121" s="16">
        <f t="shared" ref="D121:D130" si="6">E121/F121</f>
        <v>85448.72846595569</v>
      </c>
      <c r="E121" s="17">
        <v>104162</v>
      </c>
      <c r="F121">
        <v>1.2190000000000001</v>
      </c>
      <c r="G121" s="19">
        <v>7</v>
      </c>
      <c r="H121" t="s">
        <v>353</v>
      </c>
      <c r="I121" s="17">
        <v>90738</v>
      </c>
      <c r="J121" s="17">
        <v>119572</v>
      </c>
      <c r="K121" s="20">
        <v>1.0620000000000001</v>
      </c>
      <c r="L121" s="20">
        <v>1.4</v>
      </c>
      <c r="M121" s="3" t="s">
        <v>48</v>
      </c>
      <c r="N121">
        <v>1995</v>
      </c>
      <c r="O121">
        <v>1995</v>
      </c>
      <c r="P121" t="s">
        <v>313</v>
      </c>
      <c r="Q121" s="3">
        <v>1</v>
      </c>
    </row>
    <row r="122" spans="1:17" ht="17.45" customHeight="1">
      <c r="A122" s="24" t="s">
        <v>88</v>
      </c>
      <c r="B122" t="s">
        <v>311</v>
      </c>
      <c r="C122" t="s">
        <v>352</v>
      </c>
      <c r="D122" s="16">
        <f t="shared" si="6"/>
        <v>63848.790322580644</v>
      </c>
      <c r="E122" s="17">
        <v>63338</v>
      </c>
      <c r="F122">
        <v>0.99199999999999999</v>
      </c>
      <c r="G122" s="19">
        <v>9</v>
      </c>
      <c r="H122" t="s">
        <v>353</v>
      </c>
      <c r="I122" s="17">
        <v>53090</v>
      </c>
      <c r="J122" s="17">
        <v>75564</v>
      </c>
      <c r="K122" s="20">
        <v>0.83199999999999996</v>
      </c>
      <c r="L122" s="20">
        <v>1.1830000000000001</v>
      </c>
      <c r="M122" s="3" t="s">
        <v>48</v>
      </c>
      <c r="N122">
        <v>1996</v>
      </c>
      <c r="O122">
        <v>1996</v>
      </c>
      <c r="P122" t="s">
        <v>314</v>
      </c>
      <c r="Q122" s="3">
        <v>1</v>
      </c>
    </row>
    <row r="123" spans="1:17" ht="17.45" customHeight="1">
      <c r="A123" s="24" t="s">
        <v>88</v>
      </c>
      <c r="B123" t="s">
        <v>311</v>
      </c>
      <c r="C123" t="s">
        <v>354</v>
      </c>
      <c r="D123" s="16">
        <f t="shared" si="6"/>
        <v>85499.261447562778</v>
      </c>
      <c r="E123" s="17">
        <v>57883</v>
      </c>
      <c r="F123">
        <v>0.67700000000000005</v>
      </c>
      <c r="G123" s="19">
        <v>6.7</v>
      </c>
      <c r="H123" t="s">
        <v>353</v>
      </c>
      <c r="I123" s="17">
        <v>50812</v>
      </c>
      <c r="J123" s="17">
        <v>65938</v>
      </c>
      <c r="K123" s="20">
        <v>0.59399999999999997</v>
      </c>
      <c r="L123" s="20">
        <v>0.77200000000000002</v>
      </c>
      <c r="M123" s="3" t="s">
        <v>48</v>
      </c>
      <c r="N123">
        <v>1997</v>
      </c>
      <c r="O123">
        <v>1997</v>
      </c>
      <c r="P123" t="s">
        <v>316</v>
      </c>
      <c r="Q123">
        <v>1</v>
      </c>
    </row>
    <row r="124" spans="1:17" ht="17.45" customHeight="1">
      <c r="A124" s="24" t="s">
        <v>88</v>
      </c>
      <c r="B124" t="s">
        <v>311</v>
      </c>
      <c r="C124" t="s">
        <v>355</v>
      </c>
      <c r="D124" s="16">
        <f t="shared" si="6"/>
        <v>81979.775280898873</v>
      </c>
      <c r="E124" s="17">
        <v>36481</v>
      </c>
      <c r="F124">
        <v>0.44500000000000001</v>
      </c>
      <c r="G124" s="19">
        <v>10.4</v>
      </c>
      <c r="H124" t="s">
        <v>353</v>
      </c>
      <c r="I124" s="7">
        <v>29775</v>
      </c>
      <c r="J124" s="17">
        <v>44697</v>
      </c>
      <c r="K124" s="20">
        <v>0.36299999999999999</v>
      </c>
      <c r="L124" s="20">
        <v>0.54500000000000004</v>
      </c>
      <c r="M124" s="3" t="s">
        <v>48</v>
      </c>
      <c r="N124">
        <v>1999</v>
      </c>
      <c r="O124">
        <v>1999</v>
      </c>
      <c r="P124" t="s">
        <v>318</v>
      </c>
      <c r="Q124" s="3">
        <v>1</v>
      </c>
    </row>
    <row r="125" spans="1:17" ht="17.45" customHeight="1">
      <c r="A125" s="24" t="s">
        <v>88</v>
      </c>
      <c r="B125" t="s">
        <v>311</v>
      </c>
      <c r="C125" t="s">
        <v>356</v>
      </c>
      <c r="D125" s="16">
        <f t="shared" si="6"/>
        <v>73099.009900990102</v>
      </c>
      <c r="E125" s="17">
        <v>44298</v>
      </c>
      <c r="F125">
        <v>0.60599999999999998</v>
      </c>
      <c r="G125" s="19">
        <v>7</v>
      </c>
      <c r="H125" t="s">
        <v>353</v>
      </c>
      <c r="I125" s="17">
        <v>38648</v>
      </c>
      <c r="J125" s="17">
        <v>50775</v>
      </c>
      <c r="K125" s="20">
        <v>0.52900000000000003</v>
      </c>
      <c r="L125" s="20">
        <v>0.69499999999999995</v>
      </c>
      <c r="M125" s="3" t="s">
        <v>48</v>
      </c>
      <c r="N125">
        <v>2000</v>
      </c>
      <c r="O125">
        <v>2000</v>
      </c>
      <c r="P125" t="s">
        <v>320</v>
      </c>
      <c r="Q125">
        <v>1</v>
      </c>
    </row>
    <row r="126" spans="1:17" ht="17.45" customHeight="1">
      <c r="A126" s="24" t="s">
        <v>88</v>
      </c>
      <c r="B126" t="s">
        <v>311</v>
      </c>
      <c r="C126" t="s">
        <v>357</v>
      </c>
      <c r="D126" s="16">
        <f t="shared" si="6"/>
        <v>79792.802617230089</v>
      </c>
      <c r="E126" s="17">
        <v>73170</v>
      </c>
      <c r="F126">
        <v>0.91700000000000004</v>
      </c>
      <c r="G126" s="19">
        <v>8</v>
      </c>
      <c r="H126" t="s">
        <v>353</v>
      </c>
      <c r="I126" s="17">
        <v>62574</v>
      </c>
      <c r="J126" s="17">
        <v>85561</v>
      </c>
      <c r="K126" s="20">
        <v>0.78400000000000003</v>
      </c>
      <c r="L126" s="20">
        <v>1.073</v>
      </c>
      <c r="M126" s="3" t="s">
        <v>48</v>
      </c>
      <c r="N126">
        <v>2007</v>
      </c>
      <c r="O126">
        <v>2007</v>
      </c>
      <c r="P126" t="s">
        <v>322</v>
      </c>
      <c r="Q126">
        <v>1</v>
      </c>
    </row>
    <row r="127" spans="1:17" ht="17.45" customHeight="1">
      <c r="A127" s="24" t="s">
        <v>88</v>
      </c>
      <c r="B127" t="s">
        <v>311</v>
      </c>
      <c r="C127" t="s">
        <v>358</v>
      </c>
      <c r="D127" s="16">
        <f t="shared" si="6"/>
        <v>76767.653758542147</v>
      </c>
      <c r="E127" s="17">
        <v>33701</v>
      </c>
      <c r="F127">
        <v>0.439</v>
      </c>
      <c r="G127" s="19">
        <v>10.6</v>
      </c>
      <c r="H127" t="s">
        <v>353</v>
      </c>
      <c r="I127" s="17">
        <v>27375</v>
      </c>
      <c r="J127" s="17">
        <v>41488</v>
      </c>
      <c r="K127" s="20">
        <v>0.35699999999999998</v>
      </c>
      <c r="L127" s="20">
        <v>0.53900000000000003</v>
      </c>
      <c r="M127" s="3" t="s">
        <v>48</v>
      </c>
      <c r="N127">
        <v>2008</v>
      </c>
      <c r="O127">
        <v>2008</v>
      </c>
      <c r="P127" t="s">
        <v>324</v>
      </c>
      <c r="Q127">
        <v>1</v>
      </c>
    </row>
    <row r="128" spans="1:17" ht="17.45" customHeight="1">
      <c r="A128" s="24" t="s">
        <v>88</v>
      </c>
      <c r="B128" t="s">
        <v>311</v>
      </c>
      <c r="C128" t="s">
        <v>359</v>
      </c>
      <c r="D128" s="16">
        <f t="shared" si="6"/>
        <v>85301.818181818177</v>
      </c>
      <c r="E128" s="17">
        <v>23458</v>
      </c>
      <c r="F128">
        <v>0.27500000000000002</v>
      </c>
      <c r="G128">
        <v>34.200000000000003</v>
      </c>
      <c r="H128" t="s">
        <v>353</v>
      </c>
      <c r="I128" s="17">
        <v>12214</v>
      </c>
      <c r="J128" s="17">
        <v>45052</v>
      </c>
      <c r="K128" s="20">
        <v>0.35699999999999998</v>
      </c>
      <c r="L128" s="20">
        <v>0.53900000000000003</v>
      </c>
      <c r="M128" s="3" t="s">
        <v>48</v>
      </c>
      <c r="N128">
        <v>2009</v>
      </c>
      <c r="O128">
        <v>2009</v>
      </c>
      <c r="P128" t="s">
        <v>360</v>
      </c>
      <c r="Q128">
        <v>1</v>
      </c>
    </row>
    <row r="129" spans="1:17" ht="17.45" customHeight="1">
      <c r="A129" s="24" t="s">
        <v>88</v>
      </c>
      <c r="B129" t="s">
        <v>311</v>
      </c>
      <c r="C129" t="s">
        <v>361</v>
      </c>
      <c r="D129" s="16">
        <f t="shared" si="6"/>
        <v>85497.936726272354</v>
      </c>
      <c r="E129" s="17">
        <v>62157</v>
      </c>
      <c r="F129">
        <v>0.72699999999999998</v>
      </c>
      <c r="G129">
        <v>10.5</v>
      </c>
      <c r="H129" t="s">
        <v>353</v>
      </c>
      <c r="I129" s="17">
        <v>50625</v>
      </c>
      <c r="J129" s="17">
        <v>76315</v>
      </c>
      <c r="K129" s="20">
        <v>0.59199999999999997</v>
      </c>
      <c r="L129" s="20">
        <v>0.89300000000000002</v>
      </c>
      <c r="M129" s="3" t="s">
        <v>48</v>
      </c>
      <c r="N129">
        <v>2010</v>
      </c>
      <c r="O129">
        <v>2010</v>
      </c>
      <c r="P129" t="s">
        <v>362</v>
      </c>
      <c r="Q129">
        <v>1</v>
      </c>
    </row>
    <row r="130" spans="1:17" ht="17.45" customHeight="1">
      <c r="A130" s="24" t="s">
        <v>88</v>
      </c>
      <c r="B130" t="s">
        <v>311</v>
      </c>
      <c r="C130" t="s">
        <v>363</v>
      </c>
      <c r="D130" s="16">
        <f t="shared" si="6"/>
        <v>85438.775510204083</v>
      </c>
      <c r="E130" s="17">
        <v>16746</v>
      </c>
      <c r="F130">
        <v>0.19600000000000001</v>
      </c>
      <c r="G130">
        <v>5.8</v>
      </c>
      <c r="H130" t="s">
        <v>353</v>
      </c>
      <c r="I130" s="17">
        <v>14945</v>
      </c>
      <c r="J130" s="17">
        <v>18765</v>
      </c>
      <c r="K130" s="20">
        <v>0.17499999999999999</v>
      </c>
      <c r="L130" s="20">
        <v>0.22</v>
      </c>
      <c r="M130" s="3" t="s">
        <v>48</v>
      </c>
      <c r="N130">
        <v>2013</v>
      </c>
      <c r="O130">
        <v>2013</v>
      </c>
      <c r="P130" t="s">
        <v>364</v>
      </c>
      <c r="Q130">
        <v>1</v>
      </c>
    </row>
    <row r="131" spans="1:17" ht="17.45" customHeight="1">
      <c r="A131" s="24" t="s">
        <v>93</v>
      </c>
      <c r="B131" t="s">
        <v>295</v>
      </c>
      <c r="C131" t="s">
        <v>365</v>
      </c>
      <c r="D131" t="s">
        <v>366</v>
      </c>
      <c r="E131" s="9" t="s">
        <v>366</v>
      </c>
      <c r="F131" s="20">
        <v>1E-3</v>
      </c>
      <c r="G131" t="s">
        <v>249</v>
      </c>
      <c r="H131" t="s">
        <v>249</v>
      </c>
      <c r="I131" s="9" t="s">
        <v>366</v>
      </c>
      <c r="J131" s="9" t="s">
        <v>366</v>
      </c>
      <c r="K131" s="20">
        <v>0</v>
      </c>
      <c r="L131" s="20">
        <v>4.0000000000000001E-3</v>
      </c>
      <c r="M131" s="3" t="s">
        <v>97</v>
      </c>
      <c r="N131">
        <v>2008</v>
      </c>
      <c r="O131">
        <v>2008</v>
      </c>
      <c r="P131" t="s">
        <v>367</v>
      </c>
      <c r="Q131">
        <v>2</v>
      </c>
    </row>
    <row r="132" spans="1:17" ht="17.45" customHeight="1">
      <c r="A132" s="24" t="s">
        <v>93</v>
      </c>
      <c r="B132" t="s">
        <v>295</v>
      </c>
      <c r="C132" t="s">
        <v>368</v>
      </c>
      <c r="D132" t="s">
        <v>366</v>
      </c>
      <c r="E132" s="9" t="s">
        <v>366</v>
      </c>
      <c r="F132" s="20">
        <v>1.9E-2</v>
      </c>
      <c r="G132" t="s">
        <v>249</v>
      </c>
      <c r="H132" t="s">
        <v>249</v>
      </c>
      <c r="I132" s="9" t="s">
        <v>366</v>
      </c>
      <c r="J132" s="9" t="s">
        <v>366</v>
      </c>
      <c r="K132" s="20">
        <v>8.9999999999999993E-3</v>
      </c>
      <c r="L132" s="20">
        <v>3.9E-2</v>
      </c>
      <c r="M132" s="3" t="s">
        <v>97</v>
      </c>
      <c r="N132">
        <v>2008</v>
      </c>
      <c r="O132">
        <v>2008</v>
      </c>
      <c r="P132" t="s">
        <v>369</v>
      </c>
      <c r="Q132">
        <v>2</v>
      </c>
    </row>
    <row r="133" spans="1:17" ht="17.45" customHeight="1">
      <c r="A133" s="24" t="s">
        <v>93</v>
      </c>
      <c r="B133" t="s">
        <v>295</v>
      </c>
      <c r="C133" t="s">
        <v>370</v>
      </c>
      <c r="D133" t="s">
        <v>366</v>
      </c>
      <c r="E133" s="9" t="s">
        <v>366</v>
      </c>
      <c r="F133" s="20">
        <v>3.6999999999999998E-2</v>
      </c>
      <c r="G133" t="s">
        <v>249</v>
      </c>
      <c r="H133" t="s">
        <v>249</v>
      </c>
      <c r="I133" s="9" t="s">
        <v>366</v>
      </c>
      <c r="J133" s="9" t="s">
        <v>366</v>
      </c>
      <c r="K133" s="20">
        <v>2.1000000000000001E-2</v>
      </c>
      <c r="L133" s="20">
        <v>6.5000000000000002E-2</v>
      </c>
      <c r="M133" s="3" t="s">
        <v>97</v>
      </c>
      <c r="N133">
        <v>2009</v>
      </c>
      <c r="O133">
        <v>2009</v>
      </c>
      <c r="P133" t="s">
        <v>367</v>
      </c>
      <c r="Q133">
        <v>2</v>
      </c>
    </row>
    <row r="134" spans="1:17" ht="17.45" customHeight="1">
      <c r="A134" s="24" t="s">
        <v>93</v>
      </c>
      <c r="B134" t="s">
        <v>295</v>
      </c>
      <c r="C134" t="s">
        <v>371</v>
      </c>
      <c r="D134" t="s">
        <v>366</v>
      </c>
      <c r="E134" s="9" t="s">
        <v>366</v>
      </c>
      <c r="F134" s="20">
        <v>5.0000000000000001E-3</v>
      </c>
      <c r="G134" t="s">
        <v>249</v>
      </c>
      <c r="H134" t="s">
        <v>249</v>
      </c>
      <c r="I134" s="9" t="s">
        <v>366</v>
      </c>
      <c r="J134" s="9" t="s">
        <v>366</v>
      </c>
      <c r="K134" s="20">
        <v>2E-3</v>
      </c>
      <c r="L134" s="20">
        <v>8.9999999999999993E-3</v>
      </c>
      <c r="M134" s="3" t="s">
        <v>97</v>
      </c>
      <c r="N134">
        <v>2009</v>
      </c>
      <c r="O134">
        <v>2009</v>
      </c>
      <c r="P134" t="s">
        <v>369</v>
      </c>
      <c r="Q134">
        <v>2</v>
      </c>
    </row>
    <row r="135" spans="1:17" ht="17.45" customHeight="1">
      <c r="A135" s="24" t="s">
        <v>93</v>
      </c>
      <c r="B135" t="s">
        <v>295</v>
      </c>
      <c r="C135" t="s">
        <v>372</v>
      </c>
      <c r="D135" t="s">
        <v>366</v>
      </c>
      <c r="E135" s="9" t="s">
        <v>366</v>
      </c>
      <c r="F135" s="20">
        <v>2.1000000000000001E-2</v>
      </c>
      <c r="G135" t="s">
        <v>249</v>
      </c>
      <c r="H135" t="s">
        <v>249</v>
      </c>
      <c r="I135" s="9" t="s">
        <v>366</v>
      </c>
      <c r="J135" s="9" t="s">
        <v>366</v>
      </c>
      <c r="K135" s="20">
        <v>0.01</v>
      </c>
      <c r="L135" s="20">
        <v>4.2000000000000003E-2</v>
      </c>
      <c r="M135" s="3" t="s">
        <v>97</v>
      </c>
      <c r="N135">
        <v>2010</v>
      </c>
      <c r="O135">
        <v>2010</v>
      </c>
      <c r="P135" t="s">
        <v>367</v>
      </c>
      <c r="Q135">
        <v>2</v>
      </c>
    </row>
    <row r="136" spans="1:17" ht="17.45" customHeight="1">
      <c r="A136" s="24" t="s">
        <v>93</v>
      </c>
      <c r="B136" t="s">
        <v>295</v>
      </c>
      <c r="C136" t="s">
        <v>373</v>
      </c>
      <c r="D136" t="s">
        <v>366</v>
      </c>
      <c r="E136" s="9" t="s">
        <v>366</v>
      </c>
      <c r="F136" s="20">
        <v>1.4999999999999999E-2</v>
      </c>
      <c r="G136" t="s">
        <v>249</v>
      </c>
      <c r="H136" t="s">
        <v>249</v>
      </c>
      <c r="I136" s="9" t="s">
        <v>366</v>
      </c>
      <c r="J136" s="9" t="s">
        <v>366</v>
      </c>
      <c r="K136" s="20">
        <v>0.01</v>
      </c>
      <c r="L136" s="20">
        <v>2.3E-2</v>
      </c>
      <c r="M136" s="3" t="s">
        <v>97</v>
      </c>
      <c r="N136">
        <v>2010</v>
      </c>
      <c r="O136">
        <v>2010</v>
      </c>
      <c r="P136" t="s">
        <v>369</v>
      </c>
      <c r="Q136">
        <v>2</v>
      </c>
    </row>
    <row r="137" spans="1:17" ht="17.45" customHeight="1">
      <c r="A137" s="24" t="s">
        <v>93</v>
      </c>
      <c r="B137" t="s">
        <v>295</v>
      </c>
      <c r="C137" t="s">
        <v>374</v>
      </c>
      <c r="D137" t="s">
        <v>366</v>
      </c>
      <c r="E137" s="9" t="s">
        <v>366</v>
      </c>
      <c r="F137" s="20">
        <v>2.1000000000000001E-2</v>
      </c>
      <c r="G137" t="s">
        <v>249</v>
      </c>
      <c r="H137" t="s">
        <v>249</v>
      </c>
      <c r="I137" s="9" t="s">
        <v>366</v>
      </c>
      <c r="J137" s="9" t="s">
        <v>366</v>
      </c>
      <c r="K137" s="20">
        <v>1.2E-2</v>
      </c>
      <c r="L137" s="20">
        <v>3.6999999999999998E-2</v>
      </c>
      <c r="M137" s="3" t="s">
        <v>97</v>
      </c>
      <c r="N137">
        <v>2011</v>
      </c>
      <c r="O137">
        <v>2011</v>
      </c>
      <c r="P137" t="s">
        <v>367</v>
      </c>
      <c r="Q137">
        <v>2</v>
      </c>
    </row>
    <row r="138" spans="1:17" ht="17.45" customHeight="1">
      <c r="A138" s="24" t="s">
        <v>93</v>
      </c>
      <c r="B138" t="s">
        <v>295</v>
      </c>
      <c r="C138" t="s">
        <v>375</v>
      </c>
      <c r="D138" t="s">
        <v>366</v>
      </c>
      <c r="E138" s="9" t="s">
        <v>366</v>
      </c>
      <c r="F138" s="20">
        <v>0.10100000000000001</v>
      </c>
      <c r="G138" t="s">
        <v>249</v>
      </c>
      <c r="H138" t="s">
        <v>249</v>
      </c>
      <c r="I138" s="9" t="s">
        <v>366</v>
      </c>
      <c r="J138" s="9" t="s">
        <v>366</v>
      </c>
      <c r="K138" s="20">
        <v>4.5999999999999999E-2</v>
      </c>
      <c r="L138" s="20">
        <v>0.222</v>
      </c>
      <c r="M138" s="3" t="s">
        <v>97</v>
      </c>
      <c r="N138">
        <v>2011</v>
      </c>
      <c r="O138">
        <v>2011</v>
      </c>
      <c r="P138" t="s">
        <v>369</v>
      </c>
      <c r="Q138">
        <v>2</v>
      </c>
    </row>
    <row r="139" spans="1:17" ht="17.45" customHeight="1">
      <c r="A139" s="24" t="s">
        <v>93</v>
      </c>
      <c r="B139" t="s">
        <v>295</v>
      </c>
      <c r="C139" t="s">
        <v>376</v>
      </c>
      <c r="D139" t="s">
        <v>366</v>
      </c>
      <c r="E139" s="9" t="s">
        <v>366</v>
      </c>
      <c r="F139" s="20">
        <v>1.2E-2</v>
      </c>
      <c r="G139" t="s">
        <v>249</v>
      </c>
      <c r="H139" t="s">
        <v>249</v>
      </c>
      <c r="I139" s="9" t="s">
        <v>366</v>
      </c>
      <c r="J139" s="9" t="s">
        <v>366</v>
      </c>
      <c r="K139" s="20">
        <v>5.0000000000000001E-3</v>
      </c>
      <c r="L139" s="20">
        <v>3.2000000000000001E-2</v>
      </c>
      <c r="M139" s="3" t="s">
        <v>97</v>
      </c>
      <c r="N139">
        <v>2008</v>
      </c>
      <c r="O139">
        <v>2008</v>
      </c>
      <c r="P139" t="s">
        <v>377</v>
      </c>
      <c r="Q139">
        <v>2</v>
      </c>
    </row>
    <row r="140" spans="1:17" ht="17.45" customHeight="1">
      <c r="A140" s="24" t="s">
        <v>93</v>
      </c>
      <c r="B140" t="s">
        <v>295</v>
      </c>
      <c r="C140" t="s">
        <v>378</v>
      </c>
      <c r="D140" t="s">
        <v>366</v>
      </c>
      <c r="E140" s="9" t="s">
        <v>366</v>
      </c>
      <c r="F140" s="20">
        <v>2.7E-2</v>
      </c>
      <c r="G140" t="s">
        <v>249</v>
      </c>
      <c r="H140" t="s">
        <v>249</v>
      </c>
      <c r="I140" s="9" t="s">
        <v>366</v>
      </c>
      <c r="J140" s="9" t="s">
        <v>366</v>
      </c>
      <c r="K140" s="20">
        <v>1.4999999999999999E-2</v>
      </c>
      <c r="L140" s="20">
        <v>4.8000000000000001E-2</v>
      </c>
      <c r="M140" s="3" t="s">
        <v>97</v>
      </c>
      <c r="N140">
        <v>2009</v>
      </c>
      <c r="O140">
        <v>2009</v>
      </c>
      <c r="P140" t="s">
        <v>379</v>
      </c>
      <c r="Q140">
        <v>2</v>
      </c>
    </row>
    <row r="141" spans="1:17" ht="17.45" customHeight="1">
      <c r="A141" s="24" t="s">
        <v>93</v>
      </c>
      <c r="B141" t="s">
        <v>295</v>
      </c>
      <c r="C141" t="s">
        <v>380</v>
      </c>
      <c r="D141" t="s">
        <v>366</v>
      </c>
      <c r="E141" s="9" t="s">
        <v>366</v>
      </c>
      <c r="F141" s="20">
        <v>1.7000000000000001E-2</v>
      </c>
      <c r="G141" t="s">
        <v>249</v>
      </c>
      <c r="H141" t="s">
        <v>249</v>
      </c>
      <c r="I141" s="9" t="s">
        <v>366</v>
      </c>
      <c r="J141" s="9" t="s">
        <v>366</v>
      </c>
      <c r="K141" s="20">
        <v>1.0999999999999999E-2</v>
      </c>
      <c r="L141" s="20">
        <v>2.8000000000000001E-2</v>
      </c>
      <c r="M141" s="3" t="s">
        <v>97</v>
      </c>
      <c r="N141">
        <v>2010</v>
      </c>
      <c r="O141">
        <v>2010</v>
      </c>
      <c r="P141" t="s">
        <v>381</v>
      </c>
      <c r="Q141">
        <v>2</v>
      </c>
    </row>
    <row r="142" spans="1:17" ht="17.45" customHeight="1">
      <c r="A142" s="24" t="s">
        <v>93</v>
      </c>
      <c r="B142" t="s">
        <v>295</v>
      </c>
      <c r="C142" t="s">
        <v>382</v>
      </c>
      <c r="D142" t="s">
        <v>366</v>
      </c>
      <c r="E142" s="9" t="s">
        <v>366</v>
      </c>
      <c r="F142" s="20">
        <v>0.25</v>
      </c>
      <c r="G142" t="s">
        <v>249</v>
      </c>
      <c r="H142" t="s">
        <v>249</v>
      </c>
      <c r="I142" s="9" t="s">
        <v>366</v>
      </c>
      <c r="J142" s="9" t="s">
        <v>366</v>
      </c>
      <c r="K142" s="20">
        <v>0.105</v>
      </c>
      <c r="L142" s="20">
        <v>0.59299999999999997</v>
      </c>
      <c r="M142" s="3" t="s">
        <v>97</v>
      </c>
      <c r="N142">
        <v>2011</v>
      </c>
      <c r="O142">
        <v>2011</v>
      </c>
      <c r="P142" t="s">
        <v>383</v>
      </c>
      <c r="Q142">
        <v>2</v>
      </c>
    </row>
    <row r="143" spans="1:17" ht="17.45" customHeight="1">
      <c r="A143" s="24" t="s">
        <v>93</v>
      </c>
      <c r="B143" t="s">
        <v>295</v>
      </c>
      <c r="C143" t="s">
        <v>384</v>
      </c>
      <c r="D143" t="s">
        <v>366</v>
      </c>
      <c r="E143" s="9" t="s">
        <v>366</v>
      </c>
      <c r="F143" s="20">
        <v>7.0000000000000001E-3</v>
      </c>
      <c r="G143" t="s">
        <v>249</v>
      </c>
      <c r="H143" t="s">
        <v>249</v>
      </c>
      <c r="I143" s="9" t="s">
        <v>366</v>
      </c>
      <c r="J143" s="9" t="s">
        <v>366</v>
      </c>
      <c r="K143" s="20">
        <v>3.0000000000000001E-3</v>
      </c>
      <c r="L143" s="20">
        <v>0.02</v>
      </c>
      <c r="M143" s="3" t="s">
        <v>97</v>
      </c>
      <c r="N143">
        <v>2008</v>
      </c>
      <c r="O143">
        <v>2008</v>
      </c>
      <c r="P143" t="s">
        <v>377</v>
      </c>
      <c r="Q143">
        <v>2</v>
      </c>
    </row>
    <row r="144" spans="1:17" ht="17.45" customHeight="1">
      <c r="A144" s="24" t="s">
        <v>93</v>
      </c>
      <c r="B144" t="s">
        <v>295</v>
      </c>
      <c r="C144" t="s">
        <v>385</v>
      </c>
      <c r="D144" t="s">
        <v>366</v>
      </c>
      <c r="E144" s="9" t="s">
        <v>366</v>
      </c>
      <c r="F144" s="20">
        <v>3.0000000000000001E-3</v>
      </c>
      <c r="G144" t="s">
        <v>249</v>
      </c>
      <c r="H144" t="s">
        <v>249</v>
      </c>
      <c r="I144" s="9" t="s">
        <v>366</v>
      </c>
      <c r="J144" s="9" t="s">
        <v>366</v>
      </c>
      <c r="K144" s="20">
        <v>1E-3</v>
      </c>
      <c r="L144" s="20">
        <v>8.0000000000000002E-3</v>
      </c>
      <c r="M144" s="3" t="s">
        <v>97</v>
      </c>
      <c r="N144">
        <v>2009</v>
      </c>
      <c r="O144">
        <v>2009</v>
      </c>
      <c r="P144" t="s">
        <v>379</v>
      </c>
      <c r="Q144">
        <v>2</v>
      </c>
    </row>
    <row r="145" spans="1:17" ht="17.45" customHeight="1">
      <c r="A145" s="24" t="s">
        <v>93</v>
      </c>
      <c r="B145" t="s">
        <v>295</v>
      </c>
      <c r="C145" t="s">
        <v>386</v>
      </c>
      <c r="D145" t="s">
        <v>366</v>
      </c>
      <c r="E145" s="9" t="s">
        <v>366</v>
      </c>
      <c r="F145" s="20">
        <v>4.0000000000000001E-3</v>
      </c>
      <c r="G145" t="s">
        <v>249</v>
      </c>
      <c r="H145" t="s">
        <v>249</v>
      </c>
      <c r="I145" s="9" t="s">
        <v>366</v>
      </c>
      <c r="J145" s="9" t="s">
        <v>366</v>
      </c>
      <c r="K145">
        <v>1E-3</v>
      </c>
      <c r="L145">
        <v>1.2E-2</v>
      </c>
      <c r="M145" s="3" t="s">
        <v>97</v>
      </c>
      <c r="N145">
        <v>2010</v>
      </c>
      <c r="O145">
        <v>2010</v>
      </c>
      <c r="P145" t="s">
        <v>381</v>
      </c>
      <c r="Q145">
        <v>2</v>
      </c>
    </row>
    <row r="146" spans="1:17" ht="17.45" customHeight="1">
      <c r="A146" s="24" t="s">
        <v>93</v>
      </c>
      <c r="B146" t="s">
        <v>295</v>
      </c>
      <c r="C146" t="s">
        <v>387</v>
      </c>
      <c r="D146" t="s">
        <v>366</v>
      </c>
      <c r="E146" s="9" t="s">
        <v>366</v>
      </c>
      <c r="F146" s="20">
        <v>0</v>
      </c>
      <c r="G146" t="s">
        <v>249</v>
      </c>
      <c r="H146" t="s">
        <v>249</v>
      </c>
      <c r="I146" s="9" t="s">
        <v>366</v>
      </c>
      <c r="J146" s="9" t="s">
        <v>366</v>
      </c>
      <c r="K146" s="20">
        <v>0</v>
      </c>
      <c r="L146" s="20">
        <v>0</v>
      </c>
      <c r="M146" s="3" t="s">
        <v>97</v>
      </c>
      <c r="N146">
        <v>2011</v>
      </c>
      <c r="O146">
        <v>2011</v>
      </c>
      <c r="P146" t="s">
        <v>383</v>
      </c>
      <c r="Q146">
        <v>2</v>
      </c>
    </row>
    <row r="147" spans="1:17" ht="17.45" customHeight="1">
      <c r="A147" s="24" t="s">
        <v>93</v>
      </c>
      <c r="B147" t="s">
        <v>295</v>
      </c>
      <c r="C147" t="s">
        <v>388</v>
      </c>
      <c r="D147" t="s">
        <v>366</v>
      </c>
      <c r="E147" s="9" t="s">
        <v>366</v>
      </c>
      <c r="F147" s="20">
        <v>1.4999999999999999E-2</v>
      </c>
      <c r="G147" t="s">
        <v>249</v>
      </c>
      <c r="H147" t="s">
        <v>249</v>
      </c>
      <c r="I147" s="9" t="s">
        <v>366</v>
      </c>
      <c r="J147" s="9" t="s">
        <v>366</v>
      </c>
      <c r="K147" s="20">
        <v>8.0000000000000002E-3</v>
      </c>
      <c r="L147" s="20">
        <v>2.7E-2</v>
      </c>
      <c r="M147" s="3" t="s">
        <v>97</v>
      </c>
      <c r="N147">
        <v>2010</v>
      </c>
      <c r="O147">
        <v>2010</v>
      </c>
      <c r="P147" t="s">
        <v>381</v>
      </c>
      <c r="Q147">
        <v>2</v>
      </c>
    </row>
    <row r="148" spans="1:17" ht="17.45" customHeight="1">
      <c r="A148" s="24" t="s">
        <v>93</v>
      </c>
      <c r="B148" t="s">
        <v>295</v>
      </c>
      <c r="C148" t="s">
        <v>389</v>
      </c>
      <c r="D148" t="s">
        <v>366</v>
      </c>
      <c r="E148" s="9" t="s">
        <v>366</v>
      </c>
      <c r="F148" s="20">
        <v>2.3E-2</v>
      </c>
      <c r="G148" t="s">
        <v>249</v>
      </c>
      <c r="H148" t="s">
        <v>249</v>
      </c>
      <c r="I148" s="9" t="s">
        <v>366</v>
      </c>
      <c r="J148" s="9" t="s">
        <v>366</v>
      </c>
      <c r="K148" s="20">
        <v>0.01</v>
      </c>
      <c r="L148" s="20">
        <v>5.1999999999999998E-2</v>
      </c>
      <c r="M148" s="3" t="s">
        <v>97</v>
      </c>
      <c r="N148">
        <v>2011</v>
      </c>
      <c r="O148">
        <v>2011</v>
      </c>
      <c r="P148" t="s">
        <v>383</v>
      </c>
      <c r="Q148">
        <v>2</v>
      </c>
    </row>
    <row r="149" spans="1:17" ht="17.45" customHeight="1">
      <c r="A149" s="24" t="s">
        <v>99</v>
      </c>
      <c r="B149" t="s">
        <v>281</v>
      </c>
      <c r="C149" t="s">
        <v>390</v>
      </c>
      <c r="D149" s="4">
        <v>52919</v>
      </c>
      <c r="E149" s="4">
        <v>343</v>
      </c>
      <c r="F149">
        <f t="shared" ref="F149:F165" si="7">E149/D149</f>
        <v>6.481603960770234E-3</v>
      </c>
      <c r="G149">
        <v>0.48799999999999999</v>
      </c>
      <c r="H149" t="s">
        <v>232</v>
      </c>
      <c r="I149" s="11">
        <v>136</v>
      </c>
      <c r="J149" s="11">
        <v>862</v>
      </c>
      <c r="K149" s="12">
        <f>I149/D149</f>
        <v>2.5699654188476727E-3</v>
      </c>
      <c r="L149" s="12">
        <f>J149/D149</f>
        <v>1.6289045522402162E-2</v>
      </c>
      <c r="M149" s="3" t="s">
        <v>48</v>
      </c>
      <c r="N149">
        <v>2015</v>
      </c>
      <c r="O149">
        <v>2015</v>
      </c>
      <c r="P149" s="21" t="s">
        <v>391</v>
      </c>
      <c r="Q149">
        <v>1</v>
      </c>
    </row>
    <row r="150" spans="1:17" ht="17.45" customHeight="1">
      <c r="A150" s="24" t="s">
        <v>99</v>
      </c>
      <c r="B150" t="s">
        <v>240</v>
      </c>
      <c r="C150" t="s">
        <v>390</v>
      </c>
      <c r="D150" s="4">
        <v>52919</v>
      </c>
      <c r="E150" s="4">
        <v>837</v>
      </c>
      <c r="F150">
        <f t="shared" si="7"/>
        <v>1.5816625408643398E-2</v>
      </c>
      <c r="G150">
        <v>0.501</v>
      </c>
      <c r="H150" s="3" t="s">
        <v>232</v>
      </c>
      <c r="I150" s="11">
        <v>314</v>
      </c>
      <c r="J150" s="11">
        <v>2233</v>
      </c>
      <c r="K150" s="12">
        <f>I150/D150</f>
        <v>5.9335966288100684E-3</v>
      </c>
      <c r="L150" s="12">
        <f>J150/D150</f>
        <v>4.2196564560932744E-2</v>
      </c>
      <c r="M150" s="3" t="s">
        <v>48</v>
      </c>
      <c r="N150">
        <v>2015</v>
      </c>
      <c r="O150">
        <v>2015</v>
      </c>
      <c r="P150" s="21" t="s">
        <v>391</v>
      </c>
      <c r="Q150">
        <v>1</v>
      </c>
    </row>
    <row r="151" spans="1:17" ht="17.45" customHeight="1">
      <c r="A151" s="24" t="s">
        <v>104</v>
      </c>
      <c r="B151" t="s">
        <v>291</v>
      </c>
      <c r="C151" t="s">
        <v>392</v>
      </c>
      <c r="D151" s="9">
        <v>279880</v>
      </c>
      <c r="E151" s="9">
        <v>61800</v>
      </c>
      <c r="F151" s="5">
        <f t="shared" si="7"/>
        <v>0.22080891810776046</v>
      </c>
      <c r="G151" t="s">
        <v>249</v>
      </c>
      <c r="H151" t="s">
        <v>249</v>
      </c>
      <c r="I151" s="9">
        <v>34900</v>
      </c>
      <c r="J151" s="9">
        <v>171600</v>
      </c>
      <c r="K151" s="5">
        <f>I151/D151</f>
        <v>0.12469629841360583</v>
      </c>
      <c r="L151" s="5">
        <f>J151/D151</f>
        <v>0.61311990853222809</v>
      </c>
      <c r="M151" s="3" t="s">
        <v>48</v>
      </c>
      <c r="N151">
        <v>2007</v>
      </c>
      <c r="O151">
        <v>2007</v>
      </c>
      <c r="P151" t="s">
        <v>393</v>
      </c>
      <c r="Q151" s="3">
        <v>1</v>
      </c>
    </row>
    <row r="152" spans="1:17" ht="17.45" customHeight="1">
      <c r="A152" s="24" t="s">
        <v>104</v>
      </c>
      <c r="B152" t="s">
        <v>304</v>
      </c>
      <c r="C152" t="s">
        <v>392</v>
      </c>
      <c r="D152" s="9">
        <v>279880</v>
      </c>
      <c r="E152" s="9">
        <v>61100</v>
      </c>
      <c r="F152" s="5">
        <f t="shared" si="7"/>
        <v>0.21830784621980848</v>
      </c>
      <c r="G152" t="s">
        <v>249</v>
      </c>
      <c r="H152" t="s">
        <v>249</v>
      </c>
      <c r="I152" s="9">
        <v>35200</v>
      </c>
      <c r="J152" s="9">
        <v>189300</v>
      </c>
      <c r="K152" s="5">
        <f>I152/D152</f>
        <v>0.12576818636558526</v>
      </c>
      <c r="L152" s="5">
        <f>J152/D152</f>
        <v>0.67636129769901387</v>
      </c>
      <c r="M152" s="3" t="s">
        <v>48</v>
      </c>
      <c r="N152">
        <v>2007</v>
      </c>
      <c r="O152">
        <v>2007</v>
      </c>
      <c r="P152" t="s">
        <v>393</v>
      </c>
      <c r="Q152" s="3">
        <v>1</v>
      </c>
    </row>
    <row r="153" spans="1:17" ht="17.45" customHeight="1">
      <c r="A153" s="24" t="s">
        <v>104</v>
      </c>
      <c r="B153" t="s">
        <v>305</v>
      </c>
      <c r="C153" t="s">
        <v>392</v>
      </c>
      <c r="D153" s="9">
        <v>279880</v>
      </c>
      <c r="E153" s="9">
        <v>233700</v>
      </c>
      <c r="F153" s="5">
        <f t="shared" si="7"/>
        <v>0.83500071459196801</v>
      </c>
      <c r="G153" t="s">
        <v>249</v>
      </c>
      <c r="H153" t="s">
        <v>249</v>
      </c>
      <c r="I153" s="9">
        <v>137300</v>
      </c>
      <c r="J153" s="9">
        <v>793100</v>
      </c>
      <c r="K153" s="5">
        <f>I153/D153</f>
        <v>0.4905673860225811</v>
      </c>
      <c r="L153" s="5">
        <f>J153/D153</f>
        <v>2.8337144490495927</v>
      </c>
      <c r="M153" s="3" t="s">
        <v>48</v>
      </c>
      <c r="N153">
        <v>2007</v>
      </c>
      <c r="O153">
        <v>2007</v>
      </c>
      <c r="P153" t="s">
        <v>393</v>
      </c>
      <c r="Q153" s="3">
        <v>1</v>
      </c>
    </row>
    <row r="154" spans="1:17" ht="17.45" customHeight="1">
      <c r="A154" s="24" t="s">
        <v>109</v>
      </c>
      <c r="B154" t="s">
        <v>294</v>
      </c>
      <c r="C154" t="s">
        <v>394</v>
      </c>
      <c r="D154" s="9">
        <v>80582</v>
      </c>
      <c r="E154" s="9">
        <v>20752</v>
      </c>
      <c r="F154">
        <f t="shared" si="7"/>
        <v>0.25752649475068873</v>
      </c>
      <c r="G154">
        <v>0.7</v>
      </c>
      <c r="H154" s="3" t="s">
        <v>232</v>
      </c>
      <c r="I154" t="s">
        <v>249</v>
      </c>
      <c r="J154" t="s">
        <v>249</v>
      </c>
      <c r="K154" t="s">
        <v>249</v>
      </c>
      <c r="L154" t="s">
        <v>249</v>
      </c>
      <c r="M154" s="3" t="s">
        <v>48</v>
      </c>
      <c r="N154">
        <v>2012</v>
      </c>
      <c r="O154">
        <v>2012</v>
      </c>
      <c r="P154" t="s">
        <v>395</v>
      </c>
      <c r="Q154">
        <v>1</v>
      </c>
    </row>
    <row r="155" spans="1:17" ht="17.45" customHeight="1">
      <c r="A155" s="24" t="s">
        <v>109</v>
      </c>
      <c r="B155" t="s">
        <v>294</v>
      </c>
      <c r="C155" t="s">
        <v>396</v>
      </c>
      <c r="D155" s="9">
        <v>80582</v>
      </c>
      <c r="E155" s="9">
        <v>27332</v>
      </c>
      <c r="F155">
        <f t="shared" si="7"/>
        <v>0.33918244769303318</v>
      </c>
      <c r="G155">
        <v>0.74</v>
      </c>
      <c r="H155" s="3" t="s">
        <v>232</v>
      </c>
      <c r="I155" t="s">
        <v>249</v>
      </c>
      <c r="J155" t="s">
        <v>249</v>
      </c>
      <c r="K155" t="s">
        <v>249</v>
      </c>
      <c r="L155" t="s">
        <v>249</v>
      </c>
      <c r="M155" s="3" t="s">
        <v>48</v>
      </c>
      <c r="N155">
        <v>2012</v>
      </c>
      <c r="O155">
        <v>2012</v>
      </c>
      <c r="P155" t="s">
        <v>395</v>
      </c>
      <c r="Q155">
        <v>1</v>
      </c>
    </row>
    <row r="156" spans="1:17" ht="17.45" customHeight="1">
      <c r="A156" s="24" t="s">
        <v>113</v>
      </c>
      <c r="B156" t="s">
        <v>294</v>
      </c>
      <c r="C156" t="s">
        <v>397</v>
      </c>
      <c r="D156" s="10">
        <v>84246.293999999994</v>
      </c>
      <c r="E156" s="9">
        <v>7355</v>
      </c>
      <c r="F156" s="12">
        <f t="shared" si="7"/>
        <v>8.7303543583768808E-2</v>
      </c>
      <c r="G156">
        <v>0.17100000000000001</v>
      </c>
      <c r="H156" t="s">
        <v>232</v>
      </c>
      <c r="I156" s="9">
        <v>5268</v>
      </c>
      <c r="J156" s="9">
        <v>10268</v>
      </c>
      <c r="K156" s="12">
        <f t="shared" ref="K156:K165" si="8">I156/D156</f>
        <v>6.2530940530155552E-2</v>
      </c>
      <c r="L156" s="12">
        <f t="shared" ref="L156:L165" si="9">J156/D156</f>
        <v>0.12188073222544366</v>
      </c>
      <c r="M156" s="3" t="s">
        <v>48</v>
      </c>
      <c r="N156">
        <v>2012</v>
      </c>
      <c r="O156">
        <v>2012</v>
      </c>
      <c r="P156" t="s">
        <v>398</v>
      </c>
      <c r="Q156">
        <v>1</v>
      </c>
    </row>
    <row r="157" spans="1:17" ht="17.45" customHeight="1">
      <c r="A157" s="24" t="s">
        <v>113</v>
      </c>
      <c r="B157" t="s">
        <v>294</v>
      </c>
      <c r="C157" t="s">
        <v>399</v>
      </c>
      <c r="D157" s="10">
        <v>84246.293999999994</v>
      </c>
      <c r="E157" s="9">
        <v>6813</v>
      </c>
      <c r="F157" s="12">
        <f t="shared" si="7"/>
        <v>8.0870026163999575E-2</v>
      </c>
      <c r="G157">
        <v>0.17599999999999999</v>
      </c>
      <c r="H157" t="s">
        <v>232</v>
      </c>
      <c r="I157" s="9">
        <v>4837</v>
      </c>
      <c r="J157" s="9">
        <v>9595</v>
      </c>
      <c r="K157" s="12">
        <f t="shared" si="8"/>
        <v>5.7414988486021716E-2</v>
      </c>
      <c r="L157" s="12">
        <f t="shared" si="9"/>
        <v>0.11389225026325787</v>
      </c>
      <c r="M157" s="3" t="s">
        <v>48</v>
      </c>
      <c r="N157">
        <v>2013</v>
      </c>
      <c r="O157">
        <v>2013</v>
      </c>
      <c r="P157" t="s">
        <v>400</v>
      </c>
      <c r="Q157">
        <v>1</v>
      </c>
    </row>
    <row r="158" spans="1:17" ht="17.45" customHeight="1">
      <c r="A158" s="24" t="s">
        <v>113</v>
      </c>
      <c r="B158" t="s">
        <v>294</v>
      </c>
      <c r="C158" t="s">
        <v>401</v>
      </c>
      <c r="D158" s="10">
        <v>84246.293999999994</v>
      </c>
      <c r="E158" s="9">
        <v>16598</v>
      </c>
      <c r="F158" s="12">
        <f t="shared" si="7"/>
        <v>0.1970175685116784</v>
      </c>
      <c r="G158">
        <v>0.21099999999999999</v>
      </c>
      <c r="H158" t="s">
        <v>232</v>
      </c>
      <c r="I158" s="9">
        <v>11934</v>
      </c>
      <c r="J158" s="9">
        <v>24966</v>
      </c>
      <c r="K158" s="12">
        <f t="shared" si="8"/>
        <v>0.14165608281831366</v>
      </c>
      <c r="L158" s="12">
        <f t="shared" si="9"/>
        <v>0.2963453798929126</v>
      </c>
      <c r="M158" s="3" t="s">
        <v>48</v>
      </c>
      <c r="N158">
        <v>2014</v>
      </c>
      <c r="O158">
        <v>2014</v>
      </c>
      <c r="P158" t="s">
        <v>402</v>
      </c>
      <c r="Q158">
        <v>1</v>
      </c>
    </row>
    <row r="159" spans="1:17" ht="17.45" customHeight="1">
      <c r="A159" s="24" t="s">
        <v>113</v>
      </c>
      <c r="B159" t="s">
        <v>294</v>
      </c>
      <c r="C159" t="s">
        <v>403</v>
      </c>
      <c r="D159" s="10">
        <v>84246.293999999994</v>
      </c>
      <c r="E159" s="9">
        <v>6456</v>
      </c>
      <c r="F159" s="12">
        <f t="shared" si="7"/>
        <v>7.6632451036955998E-2</v>
      </c>
      <c r="G159">
        <v>0.20499999999999999</v>
      </c>
      <c r="H159" t="s">
        <v>232</v>
      </c>
      <c r="I159" s="9">
        <v>4339</v>
      </c>
      <c r="J159" s="9">
        <v>9606</v>
      </c>
      <c r="K159" s="12">
        <f t="shared" si="8"/>
        <v>5.1503749233171019E-2</v>
      </c>
      <c r="L159" s="12">
        <f t="shared" si="9"/>
        <v>0.11402281980498752</v>
      </c>
      <c r="M159" s="3" t="s">
        <v>48</v>
      </c>
      <c r="N159">
        <v>2015</v>
      </c>
      <c r="O159">
        <v>2015</v>
      </c>
      <c r="P159" t="s">
        <v>404</v>
      </c>
      <c r="Q159">
        <v>1</v>
      </c>
    </row>
    <row r="160" spans="1:17" ht="17.45" customHeight="1">
      <c r="A160" s="24" t="s">
        <v>113</v>
      </c>
      <c r="B160" t="s">
        <v>294</v>
      </c>
      <c r="C160" t="s">
        <v>405</v>
      </c>
      <c r="D160" s="10">
        <v>84246.293999999994</v>
      </c>
      <c r="E160" s="9">
        <v>6965</v>
      </c>
      <c r="F160" s="12">
        <f t="shared" si="7"/>
        <v>8.267425983153634E-2</v>
      </c>
      <c r="G160">
        <v>0.23100000000000001</v>
      </c>
      <c r="H160" t="s">
        <v>232</v>
      </c>
      <c r="I160" s="9">
        <v>4456</v>
      </c>
      <c r="J160" s="9">
        <v>10885</v>
      </c>
      <c r="K160" s="12">
        <f t="shared" si="8"/>
        <v>5.2892534358840761E-2</v>
      </c>
      <c r="L160" s="12">
        <f t="shared" si="9"/>
        <v>0.1292044965206422</v>
      </c>
      <c r="M160" s="3" t="s">
        <v>48</v>
      </c>
      <c r="N160">
        <v>2016</v>
      </c>
      <c r="O160">
        <v>2016</v>
      </c>
      <c r="P160" t="s">
        <v>406</v>
      </c>
      <c r="Q160">
        <v>1</v>
      </c>
    </row>
    <row r="161" spans="1:17" ht="17.45" customHeight="1">
      <c r="A161" s="24" t="s">
        <v>113</v>
      </c>
      <c r="B161" t="s">
        <v>294</v>
      </c>
      <c r="C161" t="s">
        <v>407</v>
      </c>
      <c r="D161" s="10">
        <v>84246.293999999994</v>
      </c>
      <c r="E161" s="9">
        <v>13305</v>
      </c>
      <c r="F161" s="12">
        <f t="shared" si="7"/>
        <v>0.15792979570116167</v>
      </c>
      <c r="G161">
        <v>0.26700000000000002</v>
      </c>
      <c r="H161" t="s">
        <v>232</v>
      </c>
      <c r="I161" s="9">
        <v>7960</v>
      </c>
      <c r="J161" s="9">
        <v>22239</v>
      </c>
      <c r="K161" s="12">
        <f t="shared" si="8"/>
        <v>9.4484868378898662E-2</v>
      </c>
      <c r="L161" s="12">
        <f t="shared" si="9"/>
        <v>0.26397600350230244</v>
      </c>
      <c r="M161" s="3" t="s">
        <v>48</v>
      </c>
      <c r="N161">
        <v>2017</v>
      </c>
      <c r="O161">
        <v>2017</v>
      </c>
      <c r="P161" t="s">
        <v>408</v>
      </c>
      <c r="Q161">
        <v>1</v>
      </c>
    </row>
    <row r="162" spans="1:17" ht="17.45" customHeight="1">
      <c r="A162" s="24" t="s">
        <v>118</v>
      </c>
      <c r="B162" t="s">
        <v>281</v>
      </c>
      <c r="C162" t="s">
        <v>409</v>
      </c>
      <c r="D162" s="9">
        <v>29424</v>
      </c>
      <c r="E162">
        <v>275</v>
      </c>
      <c r="F162" s="3">
        <f t="shared" si="7"/>
        <v>9.3461120174007616E-3</v>
      </c>
      <c r="G162">
        <v>0.55000000000000004</v>
      </c>
      <c r="H162" s="3" t="s">
        <v>232</v>
      </c>
      <c r="I162" s="11">
        <v>83</v>
      </c>
      <c r="J162" s="11">
        <v>654</v>
      </c>
      <c r="K162" s="3">
        <f t="shared" si="8"/>
        <v>2.820826536160957E-3</v>
      </c>
      <c r="L162" s="3">
        <f t="shared" si="9"/>
        <v>2.2226753670473082E-2</v>
      </c>
      <c r="M162" s="3" t="s">
        <v>48</v>
      </c>
      <c r="N162">
        <v>2019</v>
      </c>
      <c r="O162">
        <v>2019</v>
      </c>
      <c r="P162" t="s">
        <v>242</v>
      </c>
      <c r="Q162" s="3">
        <v>1</v>
      </c>
    </row>
    <row r="163" spans="1:17" ht="17.45" customHeight="1">
      <c r="A163" s="24" t="s">
        <v>118</v>
      </c>
      <c r="B163" t="s">
        <v>281</v>
      </c>
      <c r="C163" t="s">
        <v>410</v>
      </c>
      <c r="D163" s="9">
        <v>120614</v>
      </c>
      <c r="E163" s="9">
        <v>13207</v>
      </c>
      <c r="F163" s="3">
        <f t="shared" si="7"/>
        <v>0.10949806821761984</v>
      </c>
      <c r="G163">
        <v>0.56999999999999995</v>
      </c>
      <c r="H163" s="3" t="s">
        <v>232</v>
      </c>
      <c r="I163" s="11">
        <v>7108</v>
      </c>
      <c r="J163" s="11">
        <v>27522</v>
      </c>
      <c r="K163" s="3">
        <f t="shared" si="8"/>
        <v>5.893179896197788E-2</v>
      </c>
      <c r="L163" s="3">
        <f t="shared" si="9"/>
        <v>0.22818246638035386</v>
      </c>
      <c r="M163" s="3" t="s">
        <v>48</v>
      </c>
      <c r="N163">
        <v>2019</v>
      </c>
      <c r="O163">
        <v>2019</v>
      </c>
      <c r="P163" t="s">
        <v>242</v>
      </c>
      <c r="Q163" s="3">
        <v>1</v>
      </c>
    </row>
    <row r="164" spans="1:17" ht="17.45" customHeight="1">
      <c r="A164" s="24" t="s">
        <v>118</v>
      </c>
      <c r="B164" t="s">
        <v>281</v>
      </c>
      <c r="C164" t="s">
        <v>411</v>
      </c>
      <c r="D164" s="9">
        <v>203886</v>
      </c>
      <c r="E164" s="9">
        <v>14531</v>
      </c>
      <c r="F164" s="3">
        <f t="shared" si="7"/>
        <v>7.1270219632539752E-2</v>
      </c>
      <c r="G164">
        <v>0.54</v>
      </c>
      <c r="H164" s="3" t="s">
        <v>232</v>
      </c>
      <c r="I164" s="11">
        <v>7968</v>
      </c>
      <c r="J164" s="11">
        <v>29376</v>
      </c>
      <c r="K164" s="3">
        <f t="shared" si="8"/>
        <v>3.9080662723286544E-2</v>
      </c>
      <c r="L164" s="3">
        <f t="shared" si="9"/>
        <v>0.14408051558223714</v>
      </c>
      <c r="M164" s="3" t="s">
        <v>48</v>
      </c>
      <c r="N164">
        <v>2019</v>
      </c>
      <c r="O164">
        <v>2019</v>
      </c>
      <c r="P164" t="s">
        <v>242</v>
      </c>
      <c r="Q164" s="3">
        <v>1</v>
      </c>
    </row>
    <row r="165" spans="1:17" ht="17.45" customHeight="1">
      <c r="A165" s="24" t="s">
        <v>118</v>
      </c>
      <c r="B165" t="s">
        <v>281</v>
      </c>
      <c r="C165" t="s">
        <v>412</v>
      </c>
      <c r="D165" s="9">
        <v>53848</v>
      </c>
      <c r="E165">
        <v>1049</v>
      </c>
      <c r="F165" s="3">
        <f t="shared" si="7"/>
        <v>1.9480760659634527E-2</v>
      </c>
      <c r="G165">
        <v>0.53800000000000003</v>
      </c>
      <c r="H165" s="3" t="s">
        <v>232</v>
      </c>
      <c r="I165" s="11">
        <v>252</v>
      </c>
      <c r="J165" s="11">
        <v>2132</v>
      </c>
      <c r="K165" s="3">
        <f t="shared" si="8"/>
        <v>4.6798395483583421E-3</v>
      </c>
      <c r="L165" s="3">
        <f t="shared" si="9"/>
        <v>3.959292824246026E-2</v>
      </c>
      <c r="M165" s="3" t="s">
        <v>48</v>
      </c>
      <c r="N165">
        <v>2019</v>
      </c>
      <c r="O165">
        <v>2019</v>
      </c>
      <c r="P165" t="s">
        <v>242</v>
      </c>
      <c r="Q165" s="3">
        <v>1</v>
      </c>
    </row>
    <row r="166" spans="1:17" ht="17.45" customHeight="1">
      <c r="A166" s="24" t="s">
        <v>122</v>
      </c>
      <c r="B166" t="s">
        <v>281</v>
      </c>
      <c r="C166" t="s">
        <v>413</v>
      </c>
      <c r="D166" s="9">
        <v>198677</v>
      </c>
      <c r="E166" t="s">
        <v>366</v>
      </c>
      <c r="F166">
        <v>4.3E-3</v>
      </c>
      <c r="G166">
        <v>0.65</v>
      </c>
      <c r="H166" t="s">
        <v>414</v>
      </c>
      <c r="I166" s="9" t="s">
        <v>249</v>
      </c>
      <c r="J166" s="9" t="s">
        <v>249</v>
      </c>
      <c r="K166" s="9" t="s">
        <v>249</v>
      </c>
      <c r="L166" s="9" t="s">
        <v>249</v>
      </c>
      <c r="M166" s="3" t="s">
        <v>97</v>
      </c>
      <c r="N166">
        <v>2010</v>
      </c>
      <c r="O166">
        <v>2012</v>
      </c>
      <c r="P166" t="s">
        <v>415</v>
      </c>
      <c r="Q166">
        <v>1</v>
      </c>
    </row>
    <row r="167" spans="1:17" ht="17.45" customHeight="1">
      <c r="A167" s="24" t="s">
        <v>122</v>
      </c>
      <c r="B167" t="s">
        <v>416</v>
      </c>
      <c r="C167" t="s">
        <v>413</v>
      </c>
      <c r="D167" s="9">
        <v>198677</v>
      </c>
      <c r="E167" t="s">
        <v>366</v>
      </c>
      <c r="F167">
        <v>3.0000000000000001E-3</v>
      </c>
      <c r="G167">
        <v>0.86</v>
      </c>
      <c r="H167" t="s">
        <v>414</v>
      </c>
      <c r="I167" s="9" t="s">
        <v>249</v>
      </c>
      <c r="J167" s="9" t="s">
        <v>249</v>
      </c>
      <c r="K167" s="9" t="s">
        <v>249</v>
      </c>
      <c r="L167" s="9" t="s">
        <v>249</v>
      </c>
      <c r="M167" s="3" t="s">
        <v>97</v>
      </c>
      <c r="N167">
        <v>2010</v>
      </c>
      <c r="O167">
        <v>2012</v>
      </c>
      <c r="P167" t="s">
        <v>415</v>
      </c>
      <c r="Q167">
        <v>1</v>
      </c>
    </row>
    <row r="168" spans="1:17" ht="17.45" customHeight="1">
      <c r="A168" s="24" t="s">
        <v>126</v>
      </c>
      <c r="B168" t="s">
        <v>294</v>
      </c>
      <c r="C168" t="s">
        <v>417</v>
      </c>
      <c r="D168" s="9">
        <v>7276</v>
      </c>
      <c r="E168" s="9">
        <v>21</v>
      </c>
      <c r="F168">
        <v>2.8999999999999998E-3</v>
      </c>
      <c r="G168">
        <v>0.76</v>
      </c>
      <c r="H168" t="s">
        <v>232</v>
      </c>
      <c r="I168">
        <v>5</v>
      </c>
      <c r="J168">
        <v>83</v>
      </c>
      <c r="K168" s="12">
        <f t="shared" ref="K168:K206" si="10">I168/D168</f>
        <v>6.8719076415612972E-4</v>
      </c>
      <c r="L168" s="12">
        <f t="shared" ref="L168:L206" si="11">J168/D168</f>
        <v>1.1407366684991753E-2</v>
      </c>
      <c r="M168" s="3" t="s">
        <v>48</v>
      </c>
      <c r="N168">
        <v>2007</v>
      </c>
      <c r="O168">
        <v>2007</v>
      </c>
      <c r="P168" t="s">
        <v>418</v>
      </c>
      <c r="Q168">
        <v>1</v>
      </c>
    </row>
    <row r="169" spans="1:17" ht="17.45" customHeight="1">
      <c r="A169" s="24" t="s">
        <v>126</v>
      </c>
      <c r="B169" t="s">
        <v>294</v>
      </c>
      <c r="C169" t="s">
        <v>419</v>
      </c>
      <c r="D169" s="9">
        <v>12152</v>
      </c>
      <c r="E169" s="9">
        <v>280</v>
      </c>
      <c r="F169">
        <v>2.3099999999999999E-2</v>
      </c>
      <c r="G169">
        <v>0.9</v>
      </c>
      <c r="H169" t="s">
        <v>232</v>
      </c>
      <c r="I169">
        <v>43</v>
      </c>
      <c r="J169" s="9">
        <v>1832</v>
      </c>
      <c r="K169" s="12">
        <f t="shared" si="10"/>
        <v>3.5385121790651743E-3</v>
      </c>
      <c r="L169" s="12">
        <f t="shared" si="11"/>
        <v>0.15075707702435814</v>
      </c>
      <c r="M169" s="3" t="s">
        <v>48</v>
      </c>
      <c r="N169">
        <v>2007</v>
      </c>
      <c r="O169">
        <v>2007</v>
      </c>
      <c r="P169" t="s">
        <v>418</v>
      </c>
      <c r="Q169">
        <v>1</v>
      </c>
    </row>
    <row r="170" spans="1:17" ht="17.45" customHeight="1">
      <c r="A170" s="24" t="s">
        <v>126</v>
      </c>
      <c r="B170" t="s">
        <v>294</v>
      </c>
      <c r="C170" t="s">
        <v>420</v>
      </c>
      <c r="D170" s="9">
        <f>SUM(D168:D169)</f>
        <v>19428</v>
      </c>
      <c r="E170" s="9">
        <v>302</v>
      </c>
      <c r="F170">
        <v>1.55E-2</v>
      </c>
      <c r="G170">
        <v>0.84</v>
      </c>
      <c r="H170" t="s">
        <v>232</v>
      </c>
      <c r="I170">
        <v>51</v>
      </c>
      <c r="J170" s="9">
        <v>1778</v>
      </c>
      <c r="K170" s="12">
        <f t="shared" si="10"/>
        <v>2.6250772081531809E-3</v>
      </c>
      <c r="L170" s="12">
        <f t="shared" si="11"/>
        <v>9.1517397570516773E-2</v>
      </c>
      <c r="M170" s="3" t="s">
        <v>48</v>
      </c>
      <c r="N170">
        <v>2007</v>
      </c>
      <c r="O170">
        <v>2007</v>
      </c>
      <c r="P170" t="s">
        <v>418</v>
      </c>
      <c r="Q170">
        <v>1</v>
      </c>
    </row>
    <row r="171" spans="1:17" ht="17.45" customHeight="1">
      <c r="A171" s="24" t="s">
        <v>126</v>
      </c>
      <c r="B171" t="s">
        <v>294</v>
      </c>
      <c r="C171" t="s">
        <v>421</v>
      </c>
      <c r="D171" s="9">
        <v>7276</v>
      </c>
      <c r="E171" s="9">
        <v>2</v>
      </c>
      <c r="F171">
        <v>2.9999999999999997E-4</v>
      </c>
      <c r="G171">
        <v>1</v>
      </c>
      <c r="H171" t="s">
        <v>232</v>
      </c>
      <c r="I171">
        <v>0</v>
      </c>
      <c r="J171">
        <v>12</v>
      </c>
      <c r="K171" s="12">
        <f t="shared" si="10"/>
        <v>0</v>
      </c>
      <c r="L171" s="12">
        <f t="shared" si="11"/>
        <v>1.6492578339747114E-3</v>
      </c>
      <c r="M171" s="3" t="s">
        <v>48</v>
      </c>
      <c r="N171">
        <v>2008</v>
      </c>
      <c r="O171">
        <v>2008</v>
      </c>
      <c r="P171" t="s">
        <v>422</v>
      </c>
      <c r="Q171">
        <v>1</v>
      </c>
    </row>
    <row r="172" spans="1:17" ht="17.45" customHeight="1">
      <c r="A172" s="24" t="s">
        <v>126</v>
      </c>
      <c r="B172" t="s">
        <v>294</v>
      </c>
      <c r="C172" t="s">
        <v>423</v>
      </c>
      <c r="D172" s="9">
        <v>12152</v>
      </c>
      <c r="E172" s="9">
        <v>0</v>
      </c>
      <c r="F172">
        <v>0</v>
      </c>
      <c r="G172">
        <v>0</v>
      </c>
      <c r="H172" t="s">
        <v>232</v>
      </c>
      <c r="I172">
        <v>0</v>
      </c>
      <c r="J172">
        <v>0</v>
      </c>
      <c r="K172" s="12">
        <f t="shared" si="10"/>
        <v>0</v>
      </c>
      <c r="L172" s="12">
        <f t="shared" si="11"/>
        <v>0</v>
      </c>
      <c r="M172" s="3" t="s">
        <v>48</v>
      </c>
      <c r="N172">
        <v>2008</v>
      </c>
      <c r="O172">
        <v>2008</v>
      </c>
      <c r="P172" t="s">
        <v>422</v>
      </c>
      <c r="Q172">
        <v>1</v>
      </c>
    </row>
    <row r="173" spans="1:17" ht="17.45" customHeight="1">
      <c r="A173" s="24" t="s">
        <v>126</v>
      </c>
      <c r="B173" t="s">
        <v>294</v>
      </c>
      <c r="C173" t="s">
        <v>424</v>
      </c>
      <c r="D173" s="9">
        <f>SUM(D171:D172)</f>
        <v>19428</v>
      </c>
      <c r="E173" s="9">
        <v>2</v>
      </c>
      <c r="F173">
        <v>1E-4</v>
      </c>
      <c r="G173">
        <v>1</v>
      </c>
      <c r="H173" t="s">
        <v>232</v>
      </c>
      <c r="I173">
        <v>0</v>
      </c>
      <c r="J173">
        <v>12</v>
      </c>
      <c r="K173" s="12">
        <f t="shared" si="10"/>
        <v>0</v>
      </c>
      <c r="L173" s="12">
        <f t="shared" si="11"/>
        <v>6.1766522544780733E-4</v>
      </c>
      <c r="M173" s="3" t="s">
        <v>48</v>
      </c>
      <c r="N173">
        <v>2008</v>
      </c>
      <c r="O173">
        <v>2008</v>
      </c>
      <c r="P173" t="s">
        <v>422</v>
      </c>
      <c r="Q173">
        <v>1</v>
      </c>
    </row>
    <row r="174" spans="1:17" ht="17.45" customHeight="1">
      <c r="A174" s="24" t="s">
        <v>126</v>
      </c>
      <c r="B174" t="s">
        <v>294</v>
      </c>
      <c r="C174" t="s">
        <v>425</v>
      </c>
      <c r="D174" s="9">
        <v>7276</v>
      </c>
      <c r="E174" s="9">
        <v>0</v>
      </c>
      <c r="F174">
        <v>0</v>
      </c>
      <c r="G174">
        <v>0</v>
      </c>
      <c r="H174" t="s">
        <v>232</v>
      </c>
      <c r="I174">
        <v>0</v>
      </c>
      <c r="J174">
        <v>0</v>
      </c>
      <c r="K174" s="12">
        <f t="shared" si="10"/>
        <v>0</v>
      </c>
      <c r="L174" s="12">
        <f t="shared" si="11"/>
        <v>0</v>
      </c>
      <c r="M174" s="3" t="s">
        <v>48</v>
      </c>
      <c r="N174">
        <v>2009</v>
      </c>
      <c r="O174">
        <v>2009</v>
      </c>
      <c r="P174" t="s">
        <v>426</v>
      </c>
      <c r="Q174">
        <v>1</v>
      </c>
    </row>
    <row r="175" spans="1:17" ht="17.45" customHeight="1">
      <c r="A175" s="24" t="s">
        <v>126</v>
      </c>
      <c r="B175" t="s">
        <v>294</v>
      </c>
      <c r="C175" t="s">
        <v>427</v>
      </c>
      <c r="D175" s="9">
        <v>7276</v>
      </c>
      <c r="E175" s="9">
        <v>8</v>
      </c>
      <c r="F175">
        <v>1.1000000000000001E-3</v>
      </c>
      <c r="G175">
        <v>0.99</v>
      </c>
      <c r="H175" t="s">
        <v>232</v>
      </c>
      <c r="I175">
        <v>2</v>
      </c>
      <c r="J175">
        <v>43</v>
      </c>
      <c r="K175" s="12">
        <f t="shared" si="10"/>
        <v>2.7487630566245191E-4</v>
      </c>
      <c r="L175" s="12">
        <f t="shared" si="11"/>
        <v>5.9098405717427161E-3</v>
      </c>
      <c r="M175" s="3" t="s">
        <v>48</v>
      </c>
      <c r="N175">
        <v>2010</v>
      </c>
      <c r="O175">
        <v>2010</v>
      </c>
      <c r="P175" t="s">
        <v>428</v>
      </c>
      <c r="Q175">
        <v>1</v>
      </c>
    </row>
    <row r="176" spans="1:17" ht="17.45" customHeight="1">
      <c r="A176" s="24" t="s">
        <v>126</v>
      </c>
      <c r="B176" t="s">
        <v>294</v>
      </c>
      <c r="C176" t="s">
        <v>429</v>
      </c>
      <c r="D176" s="9">
        <v>12152</v>
      </c>
      <c r="E176" s="9">
        <v>0</v>
      </c>
      <c r="F176">
        <v>0</v>
      </c>
      <c r="G176">
        <v>0</v>
      </c>
      <c r="H176" t="s">
        <v>232</v>
      </c>
      <c r="I176">
        <v>0</v>
      </c>
      <c r="J176">
        <v>0</v>
      </c>
      <c r="K176" s="12">
        <f t="shared" si="10"/>
        <v>0</v>
      </c>
      <c r="L176" s="12">
        <f t="shared" si="11"/>
        <v>0</v>
      </c>
      <c r="M176" s="3" t="s">
        <v>48</v>
      </c>
      <c r="N176">
        <v>2010</v>
      </c>
      <c r="O176">
        <v>2010</v>
      </c>
      <c r="P176" t="s">
        <v>428</v>
      </c>
      <c r="Q176">
        <v>1</v>
      </c>
    </row>
    <row r="177" spans="1:17" ht="17.45" customHeight="1">
      <c r="A177" s="24" t="s">
        <v>126</v>
      </c>
      <c r="B177" t="s">
        <v>294</v>
      </c>
      <c r="C177" t="s">
        <v>430</v>
      </c>
      <c r="D177" s="9">
        <f>SUM(D175:D176)</f>
        <v>19428</v>
      </c>
      <c r="E177" s="9">
        <v>8</v>
      </c>
      <c r="F177">
        <v>4.0000000000000002E-4</v>
      </c>
      <c r="G177">
        <v>0.99</v>
      </c>
      <c r="H177" t="s">
        <v>232</v>
      </c>
      <c r="I177">
        <v>2</v>
      </c>
      <c r="J177">
        <v>43</v>
      </c>
      <c r="K177" s="12">
        <f t="shared" si="10"/>
        <v>1.0294420424130121E-4</v>
      </c>
      <c r="L177" s="12">
        <f t="shared" si="11"/>
        <v>2.2133003911879762E-3</v>
      </c>
      <c r="M177" s="3" t="s">
        <v>48</v>
      </c>
      <c r="N177">
        <v>2010</v>
      </c>
      <c r="O177">
        <v>2010</v>
      </c>
      <c r="P177" t="s">
        <v>428</v>
      </c>
      <c r="Q177">
        <v>1</v>
      </c>
    </row>
    <row r="178" spans="1:17" ht="17.45" customHeight="1">
      <c r="A178" s="24" t="s">
        <v>126</v>
      </c>
      <c r="B178" t="s">
        <v>294</v>
      </c>
      <c r="C178" t="s">
        <v>431</v>
      </c>
      <c r="D178" s="9">
        <v>7276</v>
      </c>
      <c r="E178" s="9">
        <v>123</v>
      </c>
      <c r="F178">
        <v>1.6899999999999998E-2</v>
      </c>
      <c r="G178">
        <v>0.43</v>
      </c>
      <c r="H178" t="s">
        <v>232</v>
      </c>
      <c r="I178">
        <v>54</v>
      </c>
      <c r="J178">
        <v>280</v>
      </c>
      <c r="K178" s="12">
        <f t="shared" si="10"/>
        <v>7.4216602528862016E-3</v>
      </c>
      <c r="L178" s="12">
        <f t="shared" si="11"/>
        <v>3.8482682792743264E-2</v>
      </c>
      <c r="M178" s="3" t="s">
        <v>48</v>
      </c>
      <c r="N178">
        <v>2011</v>
      </c>
      <c r="O178">
        <v>2011</v>
      </c>
      <c r="P178" t="s">
        <v>432</v>
      </c>
      <c r="Q178">
        <v>1</v>
      </c>
    </row>
    <row r="179" spans="1:17" ht="17.45" customHeight="1">
      <c r="A179" s="24" t="s">
        <v>126</v>
      </c>
      <c r="B179" t="s">
        <v>294</v>
      </c>
      <c r="C179" t="s">
        <v>433</v>
      </c>
      <c r="D179" s="9">
        <v>12152</v>
      </c>
      <c r="E179" s="9">
        <v>825</v>
      </c>
      <c r="F179">
        <v>6.7900000000000002E-2</v>
      </c>
      <c r="G179">
        <v>0.75</v>
      </c>
      <c r="H179" t="s">
        <v>232</v>
      </c>
      <c r="I179">
        <v>150</v>
      </c>
      <c r="J179" s="9">
        <v>4530</v>
      </c>
      <c r="K179" s="12">
        <f t="shared" si="10"/>
        <v>1.2343647136273865E-2</v>
      </c>
      <c r="L179" s="12">
        <f t="shared" si="11"/>
        <v>0.37277814351547073</v>
      </c>
      <c r="M179" s="3" t="s">
        <v>48</v>
      </c>
      <c r="N179">
        <v>2011</v>
      </c>
      <c r="O179">
        <v>2011</v>
      </c>
      <c r="P179" t="s">
        <v>432</v>
      </c>
      <c r="Q179">
        <v>1</v>
      </c>
    </row>
    <row r="180" spans="1:17" ht="17.45" customHeight="1">
      <c r="A180" s="24" t="s">
        <v>126</v>
      </c>
      <c r="B180" t="s">
        <v>294</v>
      </c>
      <c r="C180" t="s">
        <v>434</v>
      </c>
      <c r="D180" s="9">
        <f>SUM(D178:D179)</f>
        <v>19428</v>
      </c>
      <c r="E180" s="9">
        <v>948</v>
      </c>
      <c r="F180">
        <v>1.12E-2</v>
      </c>
      <c r="G180">
        <v>0.66</v>
      </c>
      <c r="H180" t="s">
        <v>232</v>
      </c>
      <c r="I180">
        <v>208</v>
      </c>
      <c r="J180" s="9">
        <v>4320</v>
      </c>
      <c r="K180" s="12">
        <f t="shared" si="10"/>
        <v>1.0706197241095327E-2</v>
      </c>
      <c r="L180" s="12">
        <f t="shared" si="11"/>
        <v>0.22235948116121063</v>
      </c>
      <c r="M180" s="3" t="s">
        <v>48</v>
      </c>
      <c r="N180">
        <v>2011</v>
      </c>
      <c r="O180">
        <v>2011</v>
      </c>
      <c r="P180" t="s">
        <v>432</v>
      </c>
      <c r="Q180">
        <v>1</v>
      </c>
    </row>
    <row r="181" spans="1:17" ht="17.45" customHeight="1">
      <c r="A181" s="24" t="s">
        <v>126</v>
      </c>
      <c r="B181" t="s">
        <v>281</v>
      </c>
      <c r="C181" t="s">
        <v>417</v>
      </c>
      <c r="D181" s="9">
        <v>7276</v>
      </c>
      <c r="E181" s="9">
        <v>25</v>
      </c>
      <c r="F181">
        <v>3.5000000000000001E-3</v>
      </c>
      <c r="G181">
        <v>0.82</v>
      </c>
      <c r="H181" t="s">
        <v>232</v>
      </c>
      <c r="I181">
        <v>6</v>
      </c>
      <c r="J181">
        <v>106</v>
      </c>
      <c r="K181" s="12">
        <f t="shared" si="10"/>
        <v>8.2462891698735572E-4</v>
      </c>
      <c r="L181" s="12">
        <f t="shared" si="11"/>
        <v>1.4568444200109951E-2</v>
      </c>
      <c r="M181" s="3" t="s">
        <v>48</v>
      </c>
      <c r="N181">
        <v>2007</v>
      </c>
      <c r="O181">
        <v>2007</v>
      </c>
      <c r="P181" t="s">
        <v>418</v>
      </c>
      <c r="Q181">
        <v>1</v>
      </c>
    </row>
    <row r="182" spans="1:17" ht="17.45" customHeight="1">
      <c r="A182" s="24" t="s">
        <v>126</v>
      </c>
      <c r="B182" t="s">
        <v>281</v>
      </c>
      <c r="C182" t="s">
        <v>419</v>
      </c>
      <c r="D182" s="9">
        <v>12152</v>
      </c>
      <c r="E182" s="9">
        <v>0</v>
      </c>
      <c r="F182">
        <v>0</v>
      </c>
      <c r="G182">
        <v>0</v>
      </c>
      <c r="H182" t="s">
        <v>232</v>
      </c>
      <c r="I182">
        <v>0</v>
      </c>
      <c r="J182">
        <v>0</v>
      </c>
      <c r="K182" s="12">
        <f t="shared" si="10"/>
        <v>0</v>
      </c>
      <c r="L182" s="12">
        <f t="shared" si="11"/>
        <v>0</v>
      </c>
      <c r="M182" s="3" t="s">
        <v>48</v>
      </c>
      <c r="N182">
        <v>2007</v>
      </c>
      <c r="O182">
        <v>2007</v>
      </c>
      <c r="P182" t="s">
        <v>418</v>
      </c>
      <c r="Q182">
        <v>1</v>
      </c>
    </row>
    <row r="183" spans="1:17" ht="17.45" customHeight="1">
      <c r="A183" s="24" t="s">
        <v>126</v>
      </c>
      <c r="B183" t="s">
        <v>281</v>
      </c>
      <c r="C183" t="s">
        <v>420</v>
      </c>
      <c r="D183" s="9">
        <f>SUM(D181:D182)</f>
        <v>19428</v>
      </c>
      <c r="E183" s="9">
        <v>25</v>
      </c>
      <c r="F183">
        <v>1.2999999999999999E-3</v>
      </c>
      <c r="G183">
        <v>0.82</v>
      </c>
      <c r="H183" t="s">
        <v>232</v>
      </c>
      <c r="I183">
        <v>6</v>
      </c>
      <c r="J183">
        <v>106</v>
      </c>
      <c r="K183" s="12">
        <f t="shared" si="10"/>
        <v>3.0883261272390367E-4</v>
      </c>
      <c r="L183" s="12">
        <f t="shared" si="11"/>
        <v>5.456042824788964E-3</v>
      </c>
      <c r="M183" s="3" t="s">
        <v>48</v>
      </c>
      <c r="N183">
        <v>2007</v>
      </c>
      <c r="O183">
        <v>2007</v>
      </c>
      <c r="P183" t="s">
        <v>418</v>
      </c>
      <c r="Q183">
        <v>1</v>
      </c>
    </row>
    <row r="184" spans="1:17" ht="17.45" customHeight="1">
      <c r="A184" s="24" t="s">
        <v>126</v>
      </c>
      <c r="B184" t="s">
        <v>281</v>
      </c>
      <c r="C184" t="s">
        <v>421</v>
      </c>
      <c r="D184" s="9">
        <v>7276</v>
      </c>
      <c r="E184" s="9">
        <v>100</v>
      </c>
      <c r="F184">
        <v>1.38E-2</v>
      </c>
      <c r="G184">
        <v>0.35</v>
      </c>
      <c r="H184" t="s">
        <v>232</v>
      </c>
      <c r="I184">
        <v>51</v>
      </c>
      <c r="J184">
        <v>196</v>
      </c>
      <c r="K184" s="12">
        <f t="shared" si="10"/>
        <v>7.0093457943925233E-3</v>
      </c>
      <c r="L184" s="12">
        <f t="shared" si="11"/>
        <v>2.6937877954920284E-2</v>
      </c>
      <c r="M184" s="3" t="s">
        <v>48</v>
      </c>
      <c r="N184">
        <v>2008</v>
      </c>
      <c r="O184">
        <v>2008</v>
      </c>
      <c r="P184" t="s">
        <v>422</v>
      </c>
      <c r="Q184">
        <v>1</v>
      </c>
    </row>
    <row r="185" spans="1:17" ht="17.45" customHeight="1">
      <c r="A185" s="24" t="s">
        <v>126</v>
      </c>
      <c r="B185" t="s">
        <v>281</v>
      </c>
      <c r="C185" t="s">
        <v>423</v>
      </c>
      <c r="D185" s="9">
        <v>12152</v>
      </c>
      <c r="E185" s="9">
        <v>75</v>
      </c>
      <c r="F185">
        <v>6.1999999999999998E-3</v>
      </c>
      <c r="G185">
        <v>0.7</v>
      </c>
      <c r="H185" t="s">
        <v>232</v>
      </c>
      <c r="I185">
        <v>19</v>
      </c>
      <c r="J185">
        <v>299</v>
      </c>
      <c r="K185" s="12">
        <f t="shared" si="10"/>
        <v>1.5635286372613561E-3</v>
      </c>
      <c r="L185" s="12">
        <f t="shared" si="11"/>
        <v>2.4605003291639237E-2</v>
      </c>
      <c r="M185" s="3" t="s">
        <v>48</v>
      </c>
      <c r="N185">
        <v>2008</v>
      </c>
      <c r="O185">
        <v>2008</v>
      </c>
      <c r="P185" t="s">
        <v>422</v>
      </c>
      <c r="Q185">
        <v>1</v>
      </c>
    </row>
    <row r="186" spans="1:17" ht="17.45" customHeight="1">
      <c r="A186" s="24" t="s">
        <v>126</v>
      </c>
      <c r="B186" t="s">
        <v>281</v>
      </c>
      <c r="C186" t="s">
        <v>424</v>
      </c>
      <c r="D186" s="9">
        <f>SUM(D184:D185)</f>
        <v>19428</v>
      </c>
      <c r="E186" s="9">
        <v>176</v>
      </c>
      <c r="F186">
        <v>8.9999999999999993E-3</v>
      </c>
      <c r="G186">
        <v>0.36</v>
      </c>
      <c r="H186" t="s">
        <v>232</v>
      </c>
      <c r="I186">
        <v>85</v>
      </c>
      <c r="J186">
        <v>364</v>
      </c>
      <c r="K186" s="12">
        <f t="shared" si="10"/>
        <v>4.3751286802553016E-3</v>
      </c>
      <c r="L186" s="12">
        <f t="shared" si="11"/>
        <v>1.8735845171916822E-2</v>
      </c>
      <c r="M186" s="3" t="s">
        <v>48</v>
      </c>
      <c r="N186">
        <v>2008</v>
      </c>
      <c r="O186">
        <v>2008</v>
      </c>
      <c r="P186" t="s">
        <v>422</v>
      </c>
      <c r="Q186">
        <v>1</v>
      </c>
    </row>
    <row r="187" spans="1:17" ht="17.45" customHeight="1">
      <c r="A187" s="24" t="s">
        <v>126</v>
      </c>
      <c r="B187" t="s">
        <v>281</v>
      </c>
      <c r="C187" t="s">
        <v>425</v>
      </c>
      <c r="D187" s="9">
        <v>7276</v>
      </c>
      <c r="E187" s="9">
        <v>60</v>
      </c>
      <c r="F187">
        <v>8.3000000000000001E-3</v>
      </c>
      <c r="G187">
        <v>0.36</v>
      </c>
      <c r="H187" t="s">
        <v>232</v>
      </c>
      <c r="I187">
        <v>30</v>
      </c>
      <c r="J187">
        <v>123</v>
      </c>
      <c r="K187" s="12">
        <f t="shared" si="10"/>
        <v>4.1231445849367783E-3</v>
      </c>
      <c r="L187" s="12">
        <f t="shared" si="11"/>
        <v>1.6904892798240791E-2</v>
      </c>
      <c r="M187" s="3" t="s">
        <v>48</v>
      </c>
      <c r="N187">
        <v>2009</v>
      </c>
      <c r="O187">
        <v>2009</v>
      </c>
      <c r="P187" t="s">
        <v>426</v>
      </c>
      <c r="Q187">
        <v>1</v>
      </c>
    </row>
    <row r="188" spans="1:17" ht="17.45" customHeight="1">
      <c r="A188" s="24" t="s">
        <v>126</v>
      </c>
      <c r="B188" t="s">
        <v>281</v>
      </c>
      <c r="C188" t="s">
        <v>427</v>
      </c>
      <c r="D188" s="9">
        <v>7276</v>
      </c>
      <c r="E188" s="9">
        <v>185</v>
      </c>
      <c r="F188">
        <v>2.5499999999999998E-2</v>
      </c>
      <c r="G188">
        <v>0.3</v>
      </c>
      <c r="H188" t="s">
        <v>232</v>
      </c>
      <c r="I188">
        <v>103</v>
      </c>
      <c r="J188">
        <v>335</v>
      </c>
      <c r="K188" s="12">
        <f t="shared" si="10"/>
        <v>1.4156129741616274E-2</v>
      </c>
      <c r="L188" s="12">
        <f t="shared" si="11"/>
        <v>4.6041781198460689E-2</v>
      </c>
      <c r="M188" s="3" t="s">
        <v>48</v>
      </c>
      <c r="N188">
        <v>2010</v>
      </c>
      <c r="O188">
        <v>2010</v>
      </c>
      <c r="P188" t="s">
        <v>428</v>
      </c>
      <c r="Q188">
        <v>1</v>
      </c>
    </row>
    <row r="189" spans="1:17" ht="17.45" customHeight="1">
      <c r="A189" s="24" t="s">
        <v>126</v>
      </c>
      <c r="B189" t="s">
        <v>281</v>
      </c>
      <c r="C189" t="s">
        <v>429</v>
      </c>
      <c r="D189" s="9">
        <v>12152</v>
      </c>
      <c r="E189" s="9">
        <v>27</v>
      </c>
      <c r="F189">
        <v>2.3E-3</v>
      </c>
      <c r="G189">
        <v>0.97</v>
      </c>
      <c r="H189" t="s">
        <v>232</v>
      </c>
      <c r="I189">
        <v>3</v>
      </c>
      <c r="J189">
        <v>218</v>
      </c>
      <c r="K189" s="12">
        <f t="shared" si="10"/>
        <v>2.468729427254773E-4</v>
      </c>
      <c r="L189" s="12">
        <f t="shared" si="11"/>
        <v>1.7939433838051348E-2</v>
      </c>
      <c r="M189" s="3" t="s">
        <v>48</v>
      </c>
      <c r="N189">
        <v>2010</v>
      </c>
      <c r="O189">
        <v>2010</v>
      </c>
      <c r="P189" t="s">
        <v>428</v>
      </c>
      <c r="Q189">
        <v>1</v>
      </c>
    </row>
    <row r="190" spans="1:17" ht="17.45" customHeight="1">
      <c r="A190" s="24" t="s">
        <v>126</v>
      </c>
      <c r="B190" t="s">
        <v>281</v>
      </c>
      <c r="C190" t="s">
        <v>430</v>
      </c>
      <c r="D190" s="9">
        <f>SUM(D188:D189)</f>
        <v>19428</v>
      </c>
      <c r="E190" s="9">
        <v>213</v>
      </c>
      <c r="F190">
        <v>1.0999999999999999E-2</v>
      </c>
      <c r="G190">
        <v>0.3</v>
      </c>
      <c r="H190" t="s">
        <v>232</v>
      </c>
      <c r="I190">
        <v>120</v>
      </c>
      <c r="J190">
        <v>379</v>
      </c>
      <c r="K190" s="12">
        <f t="shared" si="10"/>
        <v>6.1766522544780727E-3</v>
      </c>
      <c r="L190" s="12">
        <f t="shared" si="11"/>
        <v>1.9507926703726579E-2</v>
      </c>
      <c r="M190" s="3" t="s">
        <v>48</v>
      </c>
      <c r="N190">
        <v>2010</v>
      </c>
      <c r="O190">
        <v>2010</v>
      </c>
      <c r="P190" t="s">
        <v>428</v>
      </c>
      <c r="Q190">
        <v>1</v>
      </c>
    </row>
    <row r="191" spans="1:17" ht="17.45" customHeight="1">
      <c r="A191" s="24" t="s">
        <v>126</v>
      </c>
      <c r="B191" t="s">
        <v>281</v>
      </c>
      <c r="C191" t="s">
        <v>431</v>
      </c>
      <c r="D191" s="9">
        <v>7276</v>
      </c>
      <c r="E191" s="9">
        <v>8</v>
      </c>
      <c r="F191">
        <v>1.1000000000000001E-3</v>
      </c>
      <c r="G191">
        <v>0.55000000000000004</v>
      </c>
      <c r="H191" t="s">
        <v>232</v>
      </c>
      <c r="I191">
        <v>3</v>
      </c>
      <c r="J191">
        <v>22</v>
      </c>
      <c r="K191" s="12">
        <f t="shared" si="10"/>
        <v>4.1231445849367786E-4</v>
      </c>
      <c r="L191" s="12">
        <f t="shared" si="11"/>
        <v>3.0236393622869707E-3</v>
      </c>
      <c r="M191" s="3" t="s">
        <v>48</v>
      </c>
      <c r="N191">
        <v>2011</v>
      </c>
      <c r="O191">
        <v>2011</v>
      </c>
      <c r="P191" t="s">
        <v>432</v>
      </c>
      <c r="Q191">
        <v>1</v>
      </c>
    </row>
    <row r="192" spans="1:17" ht="17.45" customHeight="1">
      <c r="A192" s="24" t="s">
        <v>126</v>
      </c>
      <c r="B192" t="s">
        <v>281</v>
      </c>
      <c r="C192" t="s">
        <v>433</v>
      </c>
      <c r="D192" s="9">
        <v>12152</v>
      </c>
      <c r="E192" s="9">
        <v>14</v>
      </c>
      <c r="F192">
        <v>1.1999999999999999E-3</v>
      </c>
      <c r="G192">
        <v>1.18</v>
      </c>
      <c r="H192" t="s">
        <v>232</v>
      </c>
      <c r="I192">
        <v>2</v>
      </c>
      <c r="J192">
        <v>131</v>
      </c>
      <c r="K192" s="12">
        <f t="shared" si="10"/>
        <v>1.6458196181698485E-4</v>
      </c>
      <c r="L192" s="12">
        <f t="shared" si="11"/>
        <v>1.0780118499012508E-2</v>
      </c>
      <c r="M192" s="3" t="s">
        <v>48</v>
      </c>
      <c r="N192">
        <v>2011</v>
      </c>
      <c r="O192">
        <v>2011</v>
      </c>
      <c r="P192" t="s">
        <v>432</v>
      </c>
      <c r="Q192">
        <v>1</v>
      </c>
    </row>
    <row r="193" spans="1:17" ht="17.45" customHeight="1">
      <c r="A193" s="24" t="s">
        <v>126</v>
      </c>
      <c r="B193" t="s">
        <v>281</v>
      </c>
      <c r="C193" t="s">
        <v>434</v>
      </c>
      <c r="D193" s="9">
        <f>SUM(D191:D192)</f>
        <v>19428</v>
      </c>
      <c r="E193" s="9">
        <v>22</v>
      </c>
      <c r="F193">
        <v>1.1000000000000001E-3</v>
      </c>
      <c r="G193">
        <v>0.8</v>
      </c>
      <c r="H193" t="s">
        <v>232</v>
      </c>
      <c r="I193">
        <v>4</v>
      </c>
      <c r="J193">
        <v>111</v>
      </c>
      <c r="K193" s="12">
        <f t="shared" si="10"/>
        <v>2.0588840848260242E-4</v>
      </c>
      <c r="L193" s="12">
        <f t="shared" si="11"/>
        <v>5.7134033353922172E-3</v>
      </c>
      <c r="M193" s="3" t="s">
        <v>48</v>
      </c>
      <c r="N193">
        <v>2011</v>
      </c>
      <c r="O193">
        <v>2011</v>
      </c>
      <c r="P193" t="s">
        <v>432</v>
      </c>
      <c r="Q193">
        <v>1</v>
      </c>
    </row>
    <row r="194" spans="1:17" ht="17.45" customHeight="1">
      <c r="A194" s="24" t="s">
        <v>126</v>
      </c>
      <c r="B194" t="s">
        <v>416</v>
      </c>
      <c r="C194" t="s">
        <v>417</v>
      </c>
      <c r="D194" s="9">
        <v>7276</v>
      </c>
      <c r="E194" s="9">
        <v>16</v>
      </c>
      <c r="F194">
        <v>2.2000000000000001E-3</v>
      </c>
      <c r="G194">
        <v>0.45</v>
      </c>
      <c r="H194" t="s">
        <v>232</v>
      </c>
      <c r="I194">
        <v>7</v>
      </c>
      <c r="J194">
        <v>37</v>
      </c>
      <c r="K194" s="12">
        <f t="shared" si="10"/>
        <v>9.6206706981858162E-4</v>
      </c>
      <c r="L194" s="12">
        <f t="shared" si="11"/>
        <v>5.0852116547553602E-3</v>
      </c>
      <c r="M194" s="3" t="s">
        <v>48</v>
      </c>
      <c r="N194">
        <v>2007</v>
      </c>
      <c r="O194">
        <v>2007</v>
      </c>
      <c r="P194" t="s">
        <v>418</v>
      </c>
      <c r="Q194">
        <v>1</v>
      </c>
    </row>
    <row r="195" spans="1:17" ht="17.45" customHeight="1">
      <c r="A195" s="24" t="s">
        <v>126</v>
      </c>
      <c r="B195" t="s">
        <v>416</v>
      </c>
      <c r="C195" t="s">
        <v>419</v>
      </c>
      <c r="D195" s="9">
        <v>12152</v>
      </c>
      <c r="E195" s="9">
        <v>0</v>
      </c>
      <c r="F195">
        <v>0</v>
      </c>
      <c r="G195">
        <v>0</v>
      </c>
      <c r="H195" t="s">
        <v>232</v>
      </c>
      <c r="I195">
        <v>0</v>
      </c>
      <c r="J195">
        <v>0</v>
      </c>
      <c r="K195" s="12">
        <f t="shared" si="10"/>
        <v>0</v>
      </c>
      <c r="L195" s="12">
        <f t="shared" si="11"/>
        <v>0</v>
      </c>
      <c r="M195" s="3" t="s">
        <v>48</v>
      </c>
      <c r="N195">
        <v>2007</v>
      </c>
      <c r="O195">
        <v>2007</v>
      </c>
      <c r="P195" t="s">
        <v>418</v>
      </c>
      <c r="Q195">
        <v>1</v>
      </c>
    </row>
    <row r="196" spans="1:17" ht="17.45" customHeight="1">
      <c r="A196" s="24" t="s">
        <v>126</v>
      </c>
      <c r="B196" t="s">
        <v>416</v>
      </c>
      <c r="C196" t="s">
        <v>420</v>
      </c>
      <c r="D196" s="9">
        <f>SUM(D194:D195)</f>
        <v>19428</v>
      </c>
      <c r="E196" s="9">
        <v>16</v>
      </c>
      <c r="F196">
        <v>8.0000000000000004E-4</v>
      </c>
      <c r="G196">
        <v>0.45</v>
      </c>
      <c r="H196" t="s">
        <v>232</v>
      </c>
      <c r="I196">
        <v>7</v>
      </c>
      <c r="J196">
        <v>37</v>
      </c>
      <c r="K196" s="12">
        <f t="shared" si="10"/>
        <v>3.6030471484455425E-4</v>
      </c>
      <c r="L196" s="12">
        <f t="shared" si="11"/>
        <v>1.9044677784640725E-3</v>
      </c>
      <c r="M196" s="3" t="s">
        <v>48</v>
      </c>
      <c r="N196">
        <v>2007</v>
      </c>
      <c r="O196">
        <v>2007</v>
      </c>
      <c r="P196" t="s">
        <v>418</v>
      </c>
      <c r="Q196">
        <v>1</v>
      </c>
    </row>
    <row r="197" spans="1:17" ht="17.45" customHeight="1">
      <c r="A197" s="24" t="s">
        <v>126</v>
      </c>
      <c r="B197" t="s">
        <v>416</v>
      </c>
      <c r="C197" t="s">
        <v>421</v>
      </c>
      <c r="D197" s="9">
        <v>7276</v>
      </c>
      <c r="E197" s="9">
        <v>8</v>
      </c>
      <c r="F197">
        <v>1.1000000000000001E-3</v>
      </c>
      <c r="G197">
        <v>0.69</v>
      </c>
      <c r="H197" t="s">
        <v>232</v>
      </c>
      <c r="I197">
        <v>2</v>
      </c>
      <c r="J197">
        <v>28</v>
      </c>
      <c r="K197" s="12">
        <f t="shared" si="10"/>
        <v>2.7487630566245191E-4</v>
      </c>
      <c r="L197" s="12">
        <f t="shared" si="11"/>
        <v>3.8482682792743265E-3</v>
      </c>
      <c r="M197" s="3" t="s">
        <v>48</v>
      </c>
      <c r="N197">
        <v>2008</v>
      </c>
      <c r="O197">
        <v>2008</v>
      </c>
      <c r="P197" t="s">
        <v>422</v>
      </c>
      <c r="Q197">
        <v>1</v>
      </c>
    </row>
    <row r="198" spans="1:17" ht="17.45" customHeight="1">
      <c r="A198" s="24" t="s">
        <v>126</v>
      </c>
      <c r="B198" t="s">
        <v>416</v>
      </c>
      <c r="C198" t="s">
        <v>423</v>
      </c>
      <c r="D198" s="9">
        <v>12152</v>
      </c>
      <c r="E198" s="9">
        <v>0</v>
      </c>
      <c r="F198">
        <v>0</v>
      </c>
      <c r="G198">
        <v>0</v>
      </c>
      <c r="H198" t="s">
        <v>232</v>
      </c>
      <c r="I198">
        <v>0</v>
      </c>
      <c r="J198">
        <v>0</v>
      </c>
      <c r="K198" s="12">
        <f t="shared" si="10"/>
        <v>0</v>
      </c>
      <c r="L198" s="12">
        <f t="shared" si="11"/>
        <v>0</v>
      </c>
      <c r="M198" s="3" t="s">
        <v>48</v>
      </c>
      <c r="N198">
        <v>2008</v>
      </c>
      <c r="O198">
        <v>2008</v>
      </c>
      <c r="P198" t="s">
        <v>422</v>
      </c>
      <c r="Q198">
        <v>1</v>
      </c>
    </row>
    <row r="199" spans="1:17" ht="17.45" customHeight="1">
      <c r="A199" s="24" t="s">
        <v>126</v>
      </c>
      <c r="B199" t="s">
        <v>416</v>
      </c>
      <c r="C199" t="s">
        <v>424</v>
      </c>
      <c r="D199" s="9">
        <f>SUM(D197:D198)</f>
        <v>19428</v>
      </c>
      <c r="E199" s="9">
        <v>8</v>
      </c>
      <c r="F199">
        <v>4.0000000000000002E-4</v>
      </c>
      <c r="G199">
        <v>0.69</v>
      </c>
      <c r="H199" t="s">
        <v>232</v>
      </c>
      <c r="I199">
        <v>2</v>
      </c>
      <c r="J199">
        <v>28</v>
      </c>
      <c r="K199" s="12">
        <f t="shared" si="10"/>
        <v>1.0294420424130121E-4</v>
      </c>
      <c r="L199" s="12">
        <f t="shared" si="11"/>
        <v>1.441218859378217E-3</v>
      </c>
      <c r="M199" s="3" t="s">
        <v>48</v>
      </c>
      <c r="N199">
        <v>2008</v>
      </c>
      <c r="O199">
        <v>2008</v>
      </c>
      <c r="P199" t="s">
        <v>422</v>
      </c>
      <c r="Q199">
        <v>1</v>
      </c>
    </row>
    <row r="200" spans="1:17" ht="17.45" customHeight="1">
      <c r="A200" s="24" t="s">
        <v>126</v>
      </c>
      <c r="B200" t="s">
        <v>416</v>
      </c>
      <c r="C200" t="s">
        <v>425</v>
      </c>
      <c r="D200" s="9">
        <v>7276</v>
      </c>
      <c r="E200" s="9">
        <v>4</v>
      </c>
      <c r="F200">
        <v>5.0000000000000001E-4</v>
      </c>
      <c r="G200">
        <v>1.01</v>
      </c>
      <c r="H200" t="s">
        <v>232</v>
      </c>
      <c r="I200">
        <v>1</v>
      </c>
      <c r="J200">
        <v>20</v>
      </c>
      <c r="K200" s="12">
        <f t="shared" si="10"/>
        <v>1.3743815283122595E-4</v>
      </c>
      <c r="L200" s="12">
        <f t="shared" si="11"/>
        <v>2.7487630566245189E-3</v>
      </c>
      <c r="M200" s="3" t="s">
        <v>48</v>
      </c>
      <c r="N200">
        <v>2009</v>
      </c>
      <c r="O200">
        <v>2009</v>
      </c>
      <c r="P200" t="s">
        <v>426</v>
      </c>
      <c r="Q200">
        <v>1</v>
      </c>
    </row>
    <row r="201" spans="1:17" ht="17.45" customHeight="1">
      <c r="A201" s="24" t="s">
        <v>126</v>
      </c>
      <c r="B201" t="s">
        <v>416</v>
      </c>
      <c r="C201" t="s">
        <v>427</v>
      </c>
      <c r="D201" s="9">
        <v>7276</v>
      </c>
      <c r="E201" s="9">
        <v>1</v>
      </c>
      <c r="F201">
        <v>2.0000000000000001E-4</v>
      </c>
      <c r="G201">
        <v>1.01</v>
      </c>
      <c r="H201" t="s">
        <v>232</v>
      </c>
      <c r="I201">
        <v>0</v>
      </c>
      <c r="J201">
        <v>8</v>
      </c>
      <c r="K201" s="12">
        <f t="shared" si="10"/>
        <v>0</v>
      </c>
      <c r="L201" s="12">
        <f t="shared" si="11"/>
        <v>1.0995052226498076E-3</v>
      </c>
      <c r="M201" s="3" t="s">
        <v>48</v>
      </c>
      <c r="N201">
        <v>2010</v>
      </c>
      <c r="O201">
        <v>2010</v>
      </c>
      <c r="P201" t="s">
        <v>428</v>
      </c>
      <c r="Q201">
        <v>1</v>
      </c>
    </row>
    <row r="202" spans="1:17" ht="17.45" customHeight="1">
      <c r="A202" s="24" t="s">
        <v>126</v>
      </c>
      <c r="B202" t="s">
        <v>416</v>
      </c>
      <c r="C202" t="s">
        <v>429</v>
      </c>
      <c r="D202" s="9">
        <v>12152</v>
      </c>
      <c r="E202" s="9">
        <v>0</v>
      </c>
      <c r="F202">
        <v>0</v>
      </c>
      <c r="G202">
        <v>0</v>
      </c>
      <c r="H202" t="s">
        <v>232</v>
      </c>
      <c r="I202">
        <v>0</v>
      </c>
      <c r="J202">
        <v>0</v>
      </c>
      <c r="K202" s="12">
        <f t="shared" si="10"/>
        <v>0</v>
      </c>
      <c r="L202" s="12">
        <f t="shared" si="11"/>
        <v>0</v>
      </c>
      <c r="M202" s="3" t="s">
        <v>48</v>
      </c>
      <c r="N202">
        <v>2010</v>
      </c>
      <c r="O202">
        <v>2010</v>
      </c>
      <c r="P202" t="s">
        <v>428</v>
      </c>
      <c r="Q202">
        <v>1</v>
      </c>
    </row>
    <row r="203" spans="1:17" ht="17.45" customHeight="1">
      <c r="A203" s="24" t="s">
        <v>126</v>
      </c>
      <c r="B203" t="s">
        <v>416</v>
      </c>
      <c r="C203" t="s">
        <v>430</v>
      </c>
      <c r="D203" s="9">
        <f>SUM(D201:D202)</f>
        <v>19428</v>
      </c>
      <c r="E203" s="9">
        <v>1</v>
      </c>
      <c r="F203">
        <v>8.0000000000000007E-5</v>
      </c>
      <c r="G203">
        <v>1.01</v>
      </c>
      <c r="H203" t="s">
        <v>232</v>
      </c>
      <c r="I203">
        <v>0</v>
      </c>
      <c r="J203">
        <v>8</v>
      </c>
      <c r="K203" s="12">
        <f t="shared" si="10"/>
        <v>0</v>
      </c>
      <c r="L203" s="12">
        <f t="shared" si="11"/>
        <v>4.1177681696520483E-4</v>
      </c>
      <c r="M203" s="3" t="s">
        <v>48</v>
      </c>
      <c r="N203">
        <v>2010</v>
      </c>
      <c r="O203">
        <v>2010</v>
      </c>
      <c r="P203" t="s">
        <v>428</v>
      </c>
      <c r="Q203">
        <v>1</v>
      </c>
    </row>
    <row r="204" spans="1:17" ht="17.45" customHeight="1">
      <c r="A204" s="24" t="s">
        <v>126</v>
      </c>
      <c r="B204" t="s">
        <v>416</v>
      </c>
      <c r="C204" t="s">
        <v>431</v>
      </c>
      <c r="D204" s="9">
        <v>7276</v>
      </c>
      <c r="E204" s="9">
        <v>18</v>
      </c>
      <c r="F204">
        <v>2.5000000000000001E-3</v>
      </c>
      <c r="G204">
        <v>0.28000000000000003</v>
      </c>
      <c r="H204" t="s">
        <v>232</v>
      </c>
      <c r="I204">
        <v>10</v>
      </c>
      <c r="J204">
        <v>31</v>
      </c>
      <c r="K204" s="12">
        <f t="shared" si="10"/>
        <v>1.3743815283122594E-3</v>
      </c>
      <c r="L204" s="12">
        <f t="shared" si="11"/>
        <v>4.2605827377680044E-3</v>
      </c>
      <c r="M204" s="3" t="s">
        <v>48</v>
      </c>
      <c r="N204">
        <v>2011</v>
      </c>
      <c r="O204">
        <v>2011</v>
      </c>
      <c r="P204" t="s">
        <v>432</v>
      </c>
      <c r="Q204">
        <v>1</v>
      </c>
    </row>
    <row r="205" spans="1:17" ht="17.45" customHeight="1">
      <c r="A205" s="24" t="s">
        <v>126</v>
      </c>
      <c r="B205" t="s">
        <v>416</v>
      </c>
      <c r="C205" t="s">
        <v>433</v>
      </c>
      <c r="D205" s="9">
        <v>12152</v>
      </c>
      <c r="E205" s="9">
        <v>0</v>
      </c>
      <c r="F205">
        <v>0</v>
      </c>
      <c r="G205">
        <v>0</v>
      </c>
      <c r="H205" t="s">
        <v>232</v>
      </c>
      <c r="I205">
        <v>0</v>
      </c>
      <c r="J205">
        <v>0</v>
      </c>
      <c r="K205" s="12">
        <f t="shared" si="10"/>
        <v>0</v>
      </c>
      <c r="L205" s="12">
        <f t="shared" si="11"/>
        <v>0</v>
      </c>
      <c r="M205" s="3" t="s">
        <v>48</v>
      </c>
      <c r="N205">
        <v>2011</v>
      </c>
      <c r="O205">
        <v>2011</v>
      </c>
      <c r="P205" t="s">
        <v>432</v>
      </c>
      <c r="Q205">
        <v>1</v>
      </c>
    </row>
    <row r="206" spans="1:17" ht="17.45" customHeight="1">
      <c r="A206" s="24" t="s">
        <v>126</v>
      </c>
      <c r="B206" t="s">
        <v>416</v>
      </c>
      <c r="C206" t="s">
        <v>434</v>
      </c>
      <c r="D206" s="9">
        <f>SUM(D204:D205)</f>
        <v>19428</v>
      </c>
      <c r="E206" s="9">
        <v>18</v>
      </c>
      <c r="F206">
        <v>8.9999999999999998E-4</v>
      </c>
      <c r="G206">
        <v>0.28000000000000003</v>
      </c>
      <c r="H206" t="s">
        <v>232</v>
      </c>
      <c r="I206">
        <v>10</v>
      </c>
      <c r="J206">
        <v>31</v>
      </c>
      <c r="K206" s="12">
        <f t="shared" si="10"/>
        <v>5.1472102120650605E-4</v>
      </c>
      <c r="L206" s="12">
        <f t="shared" si="11"/>
        <v>1.5956351657401687E-3</v>
      </c>
      <c r="M206" s="3" t="s">
        <v>48</v>
      </c>
      <c r="N206">
        <v>2011</v>
      </c>
      <c r="O206">
        <v>2011</v>
      </c>
      <c r="P206" t="s">
        <v>432</v>
      </c>
      <c r="Q206">
        <v>1</v>
      </c>
    </row>
    <row r="207" spans="1:17" ht="17.45" customHeight="1">
      <c r="A207" s="24" t="s">
        <v>129</v>
      </c>
      <c r="B207" t="s">
        <v>294</v>
      </c>
      <c r="C207" t="s">
        <v>435</v>
      </c>
      <c r="D207" s="9" t="s">
        <v>366</v>
      </c>
      <c r="E207" s="9" t="s">
        <v>366</v>
      </c>
      <c r="F207">
        <f>1.5/1000</f>
        <v>1.5E-3</v>
      </c>
      <c r="G207">
        <v>0.82</v>
      </c>
      <c r="H207" t="s">
        <v>232</v>
      </c>
      <c r="I207" s="9">
        <v>0</v>
      </c>
      <c r="J207" s="9">
        <v>87</v>
      </c>
      <c r="K207" s="9" t="s">
        <v>249</v>
      </c>
      <c r="L207" s="9" t="s">
        <v>249</v>
      </c>
      <c r="M207" s="3" t="s">
        <v>48</v>
      </c>
      <c r="N207">
        <v>2006</v>
      </c>
      <c r="O207">
        <v>2006</v>
      </c>
      <c r="P207" t="s">
        <v>436</v>
      </c>
      <c r="Q207">
        <v>1</v>
      </c>
    </row>
    <row r="208" spans="1:17" ht="17.45" customHeight="1">
      <c r="A208" s="24" t="s">
        <v>129</v>
      </c>
      <c r="B208" t="s">
        <v>294</v>
      </c>
      <c r="C208" t="s">
        <v>437</v>
      </c>
      <c r="D208" s="9" t="s">
        <v>366</v>
      </c>
      <c r="E208" s="9" t="s">
        <v>366</v>
      </c>
      <c r="F208">
        <f>18.9/1000</f>
        <v>1.89E-2</v>
      </c>
      <c r="G208">
        <v>0.52</v>
      </c>
      <c r="H208" t="s">
        <v>232</v>
      </c>
      <c r="I208" s="9">
        <v>46</v>
      </c>
      <c r="J208" s="9">
        <v>391</v>
      </c>
      <c r="K208" s="9" t="s">
        <v>249</v>
      </c>
      <c r="L208" s="9" t="s">
        <v>249</v>
      </c>
      <c r="M208" s="3" t="s">
        <v>48</v>
      </c>
      <c r="N208">
        <v>2007</v>
      </c>
      <c r="O208">
        <v>2007</v>
      </c>
      <c r="P208" t="s">
        <v>436</v>
      </c>
      <c r="Q208">
        <v>1</v>
      </c>
    </row>
    <row r="209" spans="1:17" ht="17.45" customHeight="1">
      <c r="A209" s="24" t="s">
        <v>129</v>
      </c>
      <c r="B209" t="s">
        <v>294</v>
      </c>
      <c r="C209" t="s">
        <v>438</v>
      </c>
      <c r="D209" s="9" t="s">
        <v>366</v>
      </c>
      <c r="E209" s="9" t="s">
        <v>366</v>
      </c>
      <c r="F209">
        <f>0/1000</f>
        <v>0</v>
      </c>
      <c r="G209" t="s">
        <v>249</v>
      </c>
      <c r="H209" t="s">
        <v>232</v>
      </c>
      <c r="I209" t="s">
        <v>249</v>
      </c>
      <c r="J209" t="s">
        <v>249</v>
      </c>
      <c r="K209" s="9" t="s">
        <v>249</v>
      </c>
      <c r="L209" s="9" t="s">
        <v>249</v>
      </c>
      <c r="M209" s="3" t="s">
        <v>48</v>
      </c>
      <c r="N209">
        <v>2008</v>
      </c>
      <c r="O209">
        <v>2008</v>
      </c>
      <c r="P209" t="s">
        <v>436</v>
      </c>
      <c r="Q209">
        <v>1</v>
      </c>
    </row>
    <row r="210" spans="1:17" ht="17.45" customHeight="1">
      <c r="A210" s="24" t="s">
        <v>129</v>
      </c>
      <c r="B210" t="s">
        <v>294</v>
      </c>
      <c r="C210" t="s">
        <v>439</v>
      </c>
      <c r="D210" s="9" t="s">
        <v>366</v>
      </c>
      <c r="E210" s="9" t="s">
        <v>366</v>
      </c>
      <c r="F210">
        <f>9.6/1000</f>
        <v>9.5999999999999992E-3</v>
      </c>
      <c r="G210">
        <v>0.63</v>
      </c>
      <c r="H210" t="s">
        <v>232</v>
      </c>
      <c r="I210" s="9">
        <v>0</v>
      </c>
      <c r="J210" s="9">
        <v>436</v>
      </c>
      <c r="K210" s="9" t="s">
        <v>249</v>
      </c>
      <c r="L210" s="9" t="s">
        <v>249</v>
      </c>
      <c r="M210" s="3" t="s">
        <v>48</v>
      </c>
      <c r="N210">
        <v>2006</v>
      </c>
      <c r="O210">
        <v>2006</v>
      </c>
      <c r="P210" t="s">
        <v>440</v>
      </c>
      <c r="Q210">
        <v>1</v>
      </c>
    </row>
    <row r="211" spans="1:17" ht="17.45" customHeight="1">
      <c r="A211" s="24" t="s">
        <v>129</v>
      </c>
      <c r="B211" t="s">
        <v>294</v>
      </c>
      <c r="C211" t="s">
        <v>441</v>
      </c>
      <c r="D211" s="9" t="s">
        <v>366</v>
      </c>
      <c r="E211" s="9" t="s">
        <v>366</v>
      </c>
      <c r="F211">
        <f>127.3/1000</f>
        <v>0.1273</v>
      </c>
      <c r="G211">
        <v>0.6</v>
      </c>
      <c r="H211" t="s">
        <v>232</v>
      </c>
      <c r="I211" s="9">
        <v>0</v>
      </c>
      <c r="J211" s="9">
        <v>3792</v>
      </c>
      <c r="K211" s="9" t="s">
        <v>249</v>
      </c>
      <c r="L211" s="9" t="s">
        <v>249</v>
      </c>
      <c r="M211" s="3" t="s">
        <v>48</v>
      </c>
      <c r="N211">
        <v>2007</v>
      </c>
      <c r="O211">
        <v>2007</v>
      </c>
      <c r="P211" t="s">
        <v>440</v>
      </c>
      <c r="Q211">
        <v>1</v>
      </c>
    </row>
    <row r="212" spans="1:17" ht="17.45" customHeight="1">
      <c r="A212" s="24" t="s">
        <v>129</v>
      </c>
      <c r="B212" t="s">
        <v>294</v>
      </c>
      <c r="C212" t="s">
        <v>442</v>
      </c>
      <c r="D212" s="9" t="s">
        <v>366</v>
      </c>
      <c r="E212" s="9" t="s">
        <v>366</v>
      </c>
      <c r="F212">
        <f>3.7/1000</f>
        <v>3.7000000000000002E-3</v>
      </c>
      <c r="G212">
        <v>0.89</v>
      </c>
      <c r="H212" t="s">
        <v>232</v>
      </c>
      <c r="I212" s="9">
        <v>0</v>
      </c>
      <c r="J212" s="9">
        <v>201</v>
      </c>
      <c r="K212" s="9" t="s">
        <v>249</v>
      </c>
      <c r="L212" s="9" t="s">
        <v>249</v>
      </c>
      <c r="M212" s="3" t="s">
        <v>48</v>
      </c>
      <c r="N212">
        <v>2008</v>
      </c>
      <c r="O212">
        <v>2008</v>
      </c>
      <c r="P212" t="s">
        <v>440</v>
      </c>
      <c r="Q212">
        <v>1</v>
      </c>
    </row>
    <row r="213" spans="1:17" ht="17.45" customHeight="1">
      <c r="A213" s="24" t="s">
        <v>129</v>
      </c>
      <c r="B213" t="s">
        <v>294</v>
      </c>
      <c r="C213" t="s">
        <v>443</v>
      </c>
      <c r="D213" s="9" t="s">
        <v>366</v>
      </c>
      <c r="E213" s="9" t="s">
        <v>366</v>
      </c>
      <c r="F213">
        <f>4.6/1000</f>
        <v>4.5999999999999999E-3</v>
      </c>
      <c r="G213">
        <v>0.65</v>
      </c>
      <c r="H213" t="s">
        <v>232</v>
      </c>
      <c r="I213" s="9">
        <v>0</v>
      </c>
      <c r="J213" s="9">
        <v>213</v>
      </c>
      <c r="K213" s="9" t="s">
        <v>249</v>
      </c>
      <c r="L213" s="9" t="s">
        <v>249</v>
      </c>
      <c r="M213" s="3" t="s">
        <v>48</v>
      </c>
      <c r="N213">
        <v>2006</v>
      </c>
      <c r="O213">
        <v>2006</v>
      </c>
      <c r="P213" t="s">
        <v>444</v>
      </c>
      <c r="Q213">
        <v>1</v>
      </c>
    </row>
    <row r="214" spans="1:17" ht="17.45" customHeight="1">
      <c r="A214" s="24" t="s">
        <v>129</v>
      </c>
      <c r="B214" t="s">
        <v>294</v>
      </c>
      <c r="C214" t="s">
        <v>445</v>
      </c>
      <c r="D214" s="9" t="s">
        <v>366</v>
      </c>
      <c r="E214" s="9" t="s">
        <v>366</v>
      </c>
      <c r="F214">
        <f>2.4/1000</f>
        <v>2.3999999999999998E-3</v>
      </c>
      <c r="G214">
        <v>0.86</v>
      </c>
      <c r="H214" t="s">
        <v>232</v>
      </c>
      <c r="I214" s="9">
        <v>0</v>
      </c>
      <c r="J214" s="9">
        <v>127</v>
      </c>
      <c r="K214" s="9" t="s">
        <v>249</v>
      </c>
      <c r="L214" s="9" t="s">
        <v>249</v>
      </c>
      <c r="M214" s="3" t="s">
        <v>48</v>
      </c>
      <c r="N214">
        <v>2007</v>
      </c>
      <c r="O214">
        <v>2007</v>
      </c>
      <c r="P214" t="s">
        <v>444</v>
      </c>
      <c r="Q214">
        <v>1</v>
      </c>
    </row>
    <row r="215" spans="1:17" ht="17.45" customHeight="1">
      <c r="A215" s="24" t="s">
        <v>129</v>
      </c>
      <c r="B215" t="s">
        <v>294</v>
      </c>
      <c r="C215" t="s">
        <v>446</v>
      </c>
      <c r="D215" s="9" t="s">
        <v>366</v>
      </c>
      <c r="E215" s="9" t="s">
        <v>366</v>
      </c>
      <c r="F215">
        <f>0/1000</f>
        <v>0</v>
      </c>
      <c r="G215" t="s">
        <v>249</v>
      </c>
      <c r="H215" t="s">
        <v>232</v>
      </c>
      <c r="I215" t="s">
        <v>249</v>
      </c>
      <c r="J215" t="s">
        <v>249</v>
      </c>
      <c r="K215" s="9" t="s">
        <v>249</v>
      </c>
      <c r="L215" s="9" t="s">
        <v>249</v>
      </c>
      <c r="M215" s="3" t="s">
        <v>48</v>
      </c>
      <c r="N215">
        <v>2008</v>
      </c>
      <c r="O215">
        <v>2008</v>
      </c>
      <c r="P215" t="s">
        <v>447</v>
      </c>
      <c r="Q215">
        <v>1</v>
      </c>
    </row>
    <row r="216" spans="1:17" ht="17.45" customHeight="1">
      <c r="A216" s="24" t="s">
        <v>129</v>
      </c>
      <c r="B216" t="s">
        <v>294</v>
      </c>
      <c r="C216" t="s">
        <v>448</v>
      </c>
      <c r="D216" s="9" t="s">
        <v>366</v>
      </c>
      <c r="E216" s="9" t="s">
        <v>366</v>
      </c>
      <c r="F216">
        <f>3.9/1000</f>
        <v>3.8999999999999998E-3</v>
      </c>
      <c r="G216">
        <v>0.65</v>
      </c>
      <c r="H216" t="s">
        <v>232</v>
      </c>
      <c r="I216" s="9">
        <v>0</v>
      </c>
      <c r="J216" s="9">
        <v>177</v>
      </c>
      <c r="K216" s="9" t="s">
        <v>249</v>
      </c>
      <c r="L216" s="9" t="s">
        <v>249</v>
      </c>
      <c r="M216" s="3" t="s">
        <v>48</v>
      </c>
      <c r="N216">
        <v>2006</v>
      </c>
      <c r="O216">
        <v>2006</v>
      </c>
      <c r="P216" t="s">
        <v>449</v>
      </c>
      <c r="Q216">
        <v>1</v>
      </c>
    </row>
    <row r="217" spans="1:17" ht="17.45" customHeight="1">
      <c r="A217" s="24" t="s">
        <v>129</v>
      </c>
      <c r="B217" t="s">
        <v>294</v>
      </c>
      <c r="C217" t="s">
        <v>450</v>
      </c>
      <c r="D217" s="9" t="s">
        <v>366</v>
      </c>
      <c r="E217" s="9" t="s">
        <v>366</v>
      </c>
      <c r="F217">
        <f>2.4/1000</f>
        <v>2.3999999999999998E-3</v>
      </c>
      <c r="G217">
        <v>0.68</v>
      </c>
      <c r="H217" t="s">
        <v>232</v>
      </c>
      <c r="I217" s="9">
        <v>0</v>
      </c>
      <c r="J217" s="9">
        <v>113</v>
      </c>
      <c r="K217" s="9" t="s">
        <v>249</v>
      </c>
      <c r="L217" s="9" t="s">
        <v>249</v>
      </c>
      <c r="M217" s="3" t="s">
        <v>48</v>
      </c>
      <c r="N217">
        <v>2007</v>
      </c>
      <c r="O217">
        <v>2007</v>
      </c>
      <c r="P217" t="s">
        <v>449</v>
      </c>
      <c r="Q217">
        <v>1</v>
      </c>
    </row>
    <row r="218" spans="1:17" ht="17.45" customHeight="1">
      <c r="A218" s="24" t="s">
        <v>129</v>
      </c>
      <c r="B218" t="s">
        <v>294</v>
      </c>
      <c r="C218" t="s">
        <v>451</v>
      </c>
      <c r="D218" s="9" t="s">
        <v>366</v>
      </c>
      <c r="E218" s="9" t="s">
        <v>366</v>
      </c>
      <c r="F218">
        <f>0/1000</f>
        <v>0</v>
      </c>
      <c r="G218" t="s">
        <v>249</v>
      </c>
      <c r="H218" t="s">
        <v>232</v>
      </c>
      <c r="I218" t="s">
        <v>249</v>
      </c>
      <c r="J218" t="s">
        <v>249</v>
      </c>
      <c r="K218" s="9" t="s">
        <v>249</v>
      </c>
      <c r="L218" s="9" t="s">
        <v>249</v>
      </c>
      <c r="M218" s="3" t="s">
        <v>48</v>
      </c>
      <c r="N218">
        <v>2008</v>
      </c>
      <c r="O218">
        <v>2008</v>
      </c>
      <c r="P218" t="s">
        <v>449</v>
      </c>
      <c r="Q218">
        <v>1</v>
      </c>
    </row>
    <row r="219" spans="1:17" ht="17.45" customHeight="1">
      <c r="A219" s="24" t="s">
        <v>129</v>
      </c>
      <c r="B219" t="s">
        <v>281</v>
      </c>
      <c r="C219" t="s">
        <v>435</v>
      </c>
      <c r="D219" s="9" t="s">
        <v>366</v>
      </c>
      <c r="E219" s="9" t="s">
        <v>366</v>
      </c>
      <c r="F219">
        <f>0/1000</f>
        <v>0</v>
      </c>
      <c r="G219" t="s">
        <v>249</v>
      </c>
      <c r="H219" t="s">
        <v>232</v>
      </c>
      <c r="I219" s="9" t="s">
        <v>249</v>
      </c>
      <c r="J219" s="9" t="s">
        <v>249</v>
      </c>
      <c r="K219" s="9" t="s">
        <v>249</v>
      </c>
      <c r="L219" s="9" t="s">
        <v>249</v>
      </c>
      <c r="M219" s="3" t="s">
        <v>48</v>
      </c>
      <c r="N219">
        <v>2006</v>
      </c>
      <c r="O219">
        <v>2006</v>
      </c>
      <c r="P219" t="s">
        <v>436</v>
      </c>
      <c r="Q219">
        <v>1</v>
      </c>
    </row>
    <row r="220" spans="1:17" ht="17.45" customHeight="1">
      <c r="A220" s="24" t="s">
        <v>129</v>
      </c>
      <c r="B220" t="s">
        <v>281</v>
      </c>
      <c r="C220" t="s">
        <v>437</v>
      </c>
      <c r="D220" s="9" t="s">
        <v>366</v>
      </c>
      <c r="E220" s="9" t="s">
        <v>366</v>
      </c>
      <c r="F220">
        <f>0/1000</f>
        <v>0</v>
      </c>
      <c r="G220" t="s">
        <v>249</v>
      </c>
      <c r="H220" t="s">
        <v>232</v>
      </c>
      <c r="I220" s="9" t="s">
        <v>249</v>
      </c>
      <c r="J220" s="9" t="s">
        <v>249</v>
      </c>
      <c r="K220" s="9" t="s">
        <v>249</v>
      </c>
      <c r="L220" s="9" t="s">
        <v>249</v>
      </c>
      <c r="M220" s="3" t="s">
        <v>48</v>
      </c>
      <c r="N220">
        <v>2007</v>
      </c>
      <c r="O220">
        <v>2007</v>
      </c>
      <c r="P220" t="s">
        <v>436</v>
      </c>
      <c r="Q220">
        <v>1</v>
      </c>
    </row>
    <row r="221" spans="1:17" ht="17.45" customHeight="1">
      <c r="A221" s="24" t="s">
        <v>129</v>
      </c>
      <c r="B221" t="s">
        <v>281</v>
      </c>
      <c r="C221" t="s">
        <v>438</v>
      </c>
      <c r="D221" s="9" t="s">
        <v>366</v>
      </c>
      <c r="E221" s="9" t="s">
        <v>366</v>
      </c>
      <c r="F221">
        <f>0/1000</f>
        <v>0</v>
      </c>
      <c r="G221" t="s">
        <v>249</v>
      </c>
      <c r="H221" t="s">
        <v>232</v>
      </c>
      <c r="I221" s="9" t="s">
        <v>249</v>
      </c>
      <c r="J221" s="9" t="s">
        <v>249</v>
      </c>
      <c r="K221" s="9" t="s">
        <v>249</v>
      </c>
      <c r="L221" s="9" t="s">
        <v>249</v>
      </c>
      <c r="M221" s="3" t="s">
        <v>48</v>
      </c>
      <c r="N221">
        <v>2008</v>
      </c>
      <c r="O221">
        <v>2008</v>
      </c>
      <c r="P221" t="s">
        <v>436</v>
      </c>
      <c r="Q221">
        <v>1</v>
      </c>
    </row>
    <row r="222" spans="1:17" ht="17.45" customHeight="1">
      <c r="A222" s="24" t="s">
        <v>129</v>
      </c>
      <c r="B222" t="s">
        <v>281</v>
      </c>
      <c r="C222" t="s">
        <v>439</v>
      </c>
      <c r="D222" s="9" t="s">
        <v>366</v>
      </c>
      <c r="E222" s="9" t="s">
        <v>366</v>
      </c>
      <c r="F222">
        <f>1.3/1000</f>
        <v>1.2999999999999999E-3</v>
      </c>
      <c r="G222">
        <v>0.95</v>
      </c>
      <c r="H222" t="s">
        <v>232</v>
      </c>
      <c r="I222" s="9">
        <v>0</v>
      </c>
      <c r="J222" s="9">
        <v>79</v>
      </c>
      <c r="K222" s="9" t="s">
        <v>249</v>
      </c>
      <c r="L222" s="9" t="s">
        <v>249</v>
      </c>
      <c r="M222" s="3" t="s">
        <v>48</v>
      </c>
      <c r="N222">
        <v>2006</v>
      </c>
      <c r="O222">
        <v>2006</v>
      </c>
      <c r="P222" t="s">
        <v>440</v>
      </c>
      <c r="Q222">
        <v>1</v>
      </c>
    </row>
    <row r="223" spans="1:17" ht="17.45" customHeight="1">
      <c r="A223" s="24" t="s">
        <v>129</v>
      </c>
      <c r="B223" t="s">
        <v>281</v>
      </c>
      <c r="C223" t="s">
        <v>441</v>
      </c>
      <c r="D223" s="9" t="s">
        <v>366</v>
      </c>
      <c r="E223" s="9" t="s">
        <v>366</v>
      </c>
      <c r="F223">
        <f>0/1000</f>
        <v>0</v>
      </c>
      <c r="G223" t="s">
        <v>249</v>
      </c>
      <c r="H223" t="s">
        <v>232</v>
      </c>
      <c r="I223" s="9" t="s">
        <v>249</v>
      </c>
      <c r="J223" s="9" t="s">
        <v>249</v>
      </c>
      <c r="K223" s="9" t="s">
        <v>249</v>
      </c>
      <c r="L223" s="9" t="s">
        <v>249</v>
      </c>
      <c r="M223" s="3" t="s">
        <v>48</v>
      </c>
      <c r="N223">
        <v>2007</v>
      </c>
      <c r="O223">
        <v>2007</v>
      </c>
      <c r="P223" t="s">
        <v>440</v>
      </c>
      <c r="Q223">
        <v>1</v>
      </c>
    </row>
    <row r="224" spans="1:17" ht="17.45" customHeight="1">
      <c r="A224" s="24" t="s">
        <v>129</v>
      </c>
      <c r="B224" t="s">
        <v>281</v>
      </c>
      <c r="C224" t="s">
        <v>442</v>
      </c>
      <c r="D224" s="9" t="s">
        <v>366</v>
      </c>
      <c r="E224" s="9" t="s">
        <v>366</v>
      </c>
      <c r="F224">
        <f>0/1000</f>
        <v>0</v>
      </c>
      <c r="G224" t="s">
        <v>249</v>
      </c>
      <c r="H224" t="s">
        <v>232</v>
      </c>
      <c r="I224" s="9" t="s">
        <v>249</v>
      </c>
      <c r="J224" s="9" t="s">
        <v>249</v>
      </c>
      <c r="K224" s="9" t="s">
        <v>249</v>
      </c>
      <c r="L224" s="9" t="s">
        <v>249</v>
      </c>
      <c r="M224" s="3" t="s">
        <v>48</v>
      </c>
      <c r="N224">
        <v>2008</v>
      </c>
      <c r="O224">
        <v>2008</v>
      </c>
      <c r="P224" t="s">
        <v>440</v>
      </c>
      <c r="Q224">
        <v>1</v>
      </c>
    </row>
    <row r="225" spans="1:17" ht="17.45" customHeight="1">
      <c r="A225" s="24" t="s">
        <v>129</v>
      </c>
      <c r="B225" t="s">
        <v>281</v>
      </c>
      <c r="C225" t="s">
        <v>443</v>
      </c>
      <c r="D225" s="9" t="s">
        <v>366</v>
      </c>
      <c r="E225" s="9" t="s">
        <v>366</v>
      </c>
      <c r="F225">
        <f>30.7/1000</f>
        <v>3.0699999999999998E-2</v>
      </c>
      <c r="G225">
        <v>0.76</v>
      </c>
      <c r="H225" t="s">
        <v>232</v>
      </c>
      <c r="I225" s="9">
        <v>0</v>
      </c>
      <c r="J225" s="9">
        <v>1648</v>
      </c>
      <c r="K225" s="9" t="s">
        <v>249</v>
      </c>
      <c r="L225" s="9" t="s">
        <v>249</v>
      </c>
      <c r="M225" s="3" t="s">
        <v>48</v>
      </c>
      <c r="N225">
        <v>2006</v>
      </c>
      <c r="O225">
        <v>2006</v>
      </c>
      <c r="P225" t="s">
        <v>444</v>
      </c>
      <c r="Q225">
        <v>1</v>
      </c>
    </row>
    <row r="226" spans="1:17" ht="17.45" customHeight="1">
      <c r="A226" s="24" t="s">
        <v>129</v>
      </c>
      <c r="B226" t="s">
        <v>281</v>
      </c>
      <c r="C226" t="s">
        <v>445</v>
      </c>
      <c r="D226" s="9" t="s">
        <v>366</v>
      </c>
      <c r="E226" s="9" t="s">
        <v>366</v>
      </c>
      <c r="F226">
        <f>33.2/1000</f>
        <v>3.32E-2</v>
      </c>
      <c r="G226">
        <v>0.23</v>
      </c>
      <c r="H226" t="s">
        <v>232</v>
      </c>
      <c r="I226" s="9">
        <v>329</v>
      </c>
      <c r="J226" s="9">
        <v>900</v>
      </c>
      <c r="K226" s="9" t="s">
        <v>249</v>
      </c>
      <c r="L226" s="9" t="s">
        <v>249</v>
      </c>
      <c r="M226" s="3" t="s">
        <v>48</v>
      </c>
      <c r="N226">
        <v>2007</v>
      </c>
      <c r="O226">
        <v>2007</v>
      </c>
      <c r="P226" t="s">
        <v>444</v>
      </c>
      <c r="Q226">
        <v>1</v>
      </c>
    </row>
    <row r="227" spans="1:17" ht="17.45" customHeight="1">
      <c r="A227" s="24" t="s">
        <v>129</v>
      </c>
      <c r="B227" t="s">
        <v>281</v>
      </c>
      <c r="C227" t="s">
        <v>446</v>
      </c>
      <c r="D227" s="9" t="s">
        <v>366</v>
      </c>
      <c r="E227" s="9" t="s">
        <v>366</v>
      </c>
      <c r="F227">
        <f>6.1/1000</f>
        <v>6.0999999999999995E-3</v>
      </c>
      <c r="G227">
        <v>0.87</v>
      </c>
      <c r="H227" t="s">
        <v>232</v>
      </c>
      <c r="I227" s="9">
        <v>0</v>
      </c>
      <c r="J227" s="9">
        <v>340</v>
      </c>
      <c r="K227" s="9" t="s">
        <v>249</v>
      </c>
      <c r="L227" s="9" t="s">
        <v>249</v>
      </c>
      <c r="M227" s="3" t="s">
        <v>48</v>
      </c>
      <c r="N227">
        <v>2008</v>
      </c>
      <c r="O227">
        <v>2008</v>
      </c>
      <c r="P227" t="s">
        <v>447</v>
      </c>
      <c r="Q227">
        <v>1</v>
      </c>
    </row>
    <row r="228" spans="1:17" ht="17.45" customHeight="1">
      <c r="A228" s="24" t="s">
        <v>129</v>
      </c>
      <c r="B228" t="s">
        <v>281</v>
      </c>
      <c r="C228" t="s">
        <v>448</v>
      </c>
      <c r="D228" s="9" t="s">
        <v>366</v>
      </c>
      <c r="E228" s="9" t="s">
        <v>366</v>
      </c>
      <c r="F228">
        <f>2.8/1000</f>
        <v>2.8E-3</v>
      </c>
      <c r="G228">
        <v>0.91</v>
      </c>
      <c r="H228" t="s">
        <v>232</v>
      </c>
      <c r="I228" s="9">
        <v>0</v>
      </c>
      <c r="J228" s="9">
        <v>162</v>
      </c>
      <c r="K228" s="9" t="s">
        <v>249</v>
      </c>
      <c r="L228" s="9" t="s">
        <v>249</v>
      </c>
      <c r="M228" s="3" t="s">
        <v>48</v>
      </c>
      <c r="N228">
        <v>2006</v>
      </c>
      <c r="O228">
        <v>2006</v>
      </c>
      <c r="P228" t="s">
        <v>449</v>
      </c>
      <c r="Q228">
        <v>1</v>
      </c>
    </row>
    <row r="229" spans="1:17" ht="17.45" customHeight="1">
      <c r="A229" s="24" t="s">
        <v>129</v>
      </c>
      <c r="B229" t="s">
        <v>281</v>
      </c>
      <c r="C229" t="s">
        <v>450</v>
      </c>
      <c r="D229" s="9" t="s">
        <v>366</v>
      </c>
      <c r="E229" s="9" t="s">
        <v>366</v>
      </c>
      <c r="F229">
        <f>0/1000</f>
        <v>0</v>
      </c>
      <c r="G229" t="s">
        <v>249</v>
      </c>
      <c r="H229" t="s">
        <v>232</v>
      </c>
      <c r="I229" s="9" t="s">
        <v>249</v>
      </c>
      <c r="J229" s="9" t="s">
        <v>249</v>
      </c>
      <c r="K229" s="9" t="s">
        <v>249</v>
      </c>
      <c r="L229" s="9" t="s">
        <v>249</v>
      </c>
      <c r="M229" s="3" t="s">
        <v>48</v>
      </c>
      <c r="N229">
        <v>2007</v>
      </c>
      <c r="O229">
        <v>2007</v>
      </c>
      <c r="P229" t="s">
        <v>449</v>
      </c>
      <c r="Q229">
        <v>1</v>
      </c>
    </row>
    <row r="230" spans="1:17" ht="17.45" customHeight="1">
      <c r="A230" s="24" t="s">
        <v>129</v>
      </c>
      <c r="B230" t="s">
        <v>281</v>
      </c>
      <c r="C230" t="s">
        <v>451</v>
      </c>
      <c r="D230" s="9" t="s">
        <v>366</v>
      </c>
      <c r="E230" s="9" t="s">
        <v>366</v>
      </c>
      <c r="F230">
        <f>1.4/1000</f>
        <v>1.4E-3</v>
      </c>
      <c r="G230">
        <v>0.95</v>
      </c>
      <c r="H230" t="s">
        <v>232</v>
      </c>
      <c r="I230" s="9">
        <v>0</v>
      </c>
      <c r="J230" s="9">
        <v>88</v>
      </c>
      <c r="K230" s="9" t="s">
        <v>249</v>
      </c>
      <c r="L230" s="9" t="s">
        <v>249</v>
      </c>
      <c r="M230" s="3" t="s">
        <v>48</v>
      </c>
      <c r="N230">
        <v>2008</v>
      </c>
      <c r="O230">
        <v>2008</v>
      </c>
      <c r="P230" t="s">
        <v>449</v>
      </c>
      <c r="Q230">
        <v>1</v>
      </c>
    </row>
    <row r="231" spans="1:17" ht="17.45" customHeight="1">
      <c r="A231" s="24" t="s">
        <v>129</v>
      </c>
      <c r="B231" t="s">
        <v>416</v>
      </c>
      <c r="C231" t="s">
        <v>435</v>
      </c>
      <c r="D231" s="9" t="s">
        <v>366</v>
      </c>
      <c r="E231" s="9" t="s">
        <v>366</v>
      </c>
      <c r="F231">
        <f>4.9/1000</f>
        <v>4.9000000000000007E-3</v>
      </c>
      <c r="G231">
        <v>0.86</v>
      </c>
      <c r="H231" t="s">
        <v>232</v>
      </c>
      <c r="I231" s="9">
        <v>0</v>
      </c>
      <c r="J231" s="9">
        <v>313</v>
      </c>
      <c r="K231" s="9" t="s">
        <v>249</v>
      </c>
      <c r="L231" s="9" t="s">
        <v>249</v>
      </c>
      <c r="M231" s="3" t="s">
        <v>48</v>
      </c>
      <c r="N231">
        <v>2006</v>
      </c>
      <c r="O231">
        <v>2006</v>
      </c>
      <c r="P231" t="s">
        <v>436</v>
      </c>
      <c r="Q231">
        <v>1</v>
      </c>
    </row>
    <row r="232" spans="1:17" ht="17.45" customHeight="1">
      <c r="A232" s="24" t="s">
        <v>129</v>
      </c>
      <c r="B232" t="s">
        <v>416</v>
      </c>
      <c r="C232" t="s">
        <v>437</v>
      </c>
      <c r="D232" s="9" t="s">
        <v>366</v>
      </c>
      <c r="E232" s="9" t="s">
        <v>366</v>
      </c>
      <c r="F232">
        <f>23.1/1000</f>
        <v>2.3100000000000002E-2</v>
      </c>
      <c r="G232">
        <v>0.28000000000000003</v>
      </c>
      <c r="H232" t="s">
        <v>232</v>
      </c>
      <c r="I232">
        <v>219</v>
      </c>
      <c r="J232">
        <v>683</v>
      </c>
      <c r="K232" s="9" t="s">
        <v>249</v>
      </c>
      <c r="L232" s="9" t="s">
        <v>249</v>
      </c>
      <c r="M232" s="3" t="s">
        <v>48</v>
      </c>
      <c r="N232">
        <v>2007</v>
      </c>
      <c r="O232">
        <v>2007</v>
      </c>
      <c r="P232" t="s">
        <v>436</v>
      </c>
      <c r="Q232">
        <v>1</v>
      </c>
    </row>
    <row r="233" spans="1:17" ht="17.45" customHeight="1">
      <c r="A233" s="24" t="s">
        <v>129</v>
      </c>
      <c r="B233" t="s">
        <v>416</v>
      </c>
      <c r="C233" t="s">
        <v>438</v>
      </c>
      <c r="D233" s="9" t="s">
        <v>366</v>
      </c>
      <c r="E233" s="9" t="s">
        <v>366</v>
      </c>
      <c r="F233">
        <f>12/1000</f>
        <v>1.2E-2</v>
      </c>
      <c r="G233">
        <v>0.28000000000000003</v>
      </c>
      <c r="H233" t="s">
        <v>232</v>
      </c>
      <c r="I233" s="9">
        <v>115</v>
      </c>
      <c r="J233" s="9">
        <v>362</v>
      </c>
      <c r="K233" s="9" t="s">
        <v>249</v>
      </c>
      <c r="L233" s="9" t="s">
        <v>249</v>
      </c>
      <c r="M233" s="3" t="s">
        <v>48</v>
      </c>
      <c r="N233">
        <v>2008</v>
      </c>
      <c r="O233">
        <v>2008</v>
      </c>
      <c r="P233" t="s">
        <v>436</v>
      </c>
      <c r="Q233">
        <v>1</v>
      </c>
    </row>
    <row r="234" spans="1:17" ht="17.45" customHeight="1">
      <c r="A234" s="24" t="s">
        <v>129</v>
      </c>
      <c r="B234" t="s">
        <v>416</v>
      </c>
      <c r="C234" t="s">
        <v>439</v>
      </c>
      <c r="D234" s="9" t="s">
        <v>366</v>
      </c>
      <c r="E234" s="9" t="s">
        <v>366</v>
      </c>
      <c r="F234">
        <f>6.8/1000</f>
        <v>6.7999999999999996E-3</v>
      </c>
      <c r="G234">
        <v>0.33</v>
      </c>
      <c r="H234" t="s">
        <v>232</v>
      </c>
      <c r="I234" s="9">
        <v>48</v>
      </c>
      <c r="J234" s="9">
        <v>222</v>
      </c>
      <c r="K234" s="9" t="s">
        <v>249</v>
      </c>
      <c r="L234" s="9" t="s">
        <v>249</v>
      </c>
      <c r="M234" s="3" t="s">
        <v>48</v>
      </c>
      <c r="N234">
        <v>2006</v>
      </c>
      <c r="O234">
        <v>2006</v>
      </c>
      <c r="P234" t="s">
        <v>440</v>
      </c>
      <c r="Q234">
        <v>1</v>
      </c>
    </row>
    <row r="235" spans="1:17" ht="17.45" customHeight="1">
      <c r="A235" s="24" t="s">
        <v>129</v>
      </c>
      <c r="B235" t="s">
        <v>416</v>
      </c>
      <c r="C235" t="s">
        <v>441</v>
      </c>
      <c r="D235" s="9" t="s">
        <v>366</v>
      </c>
      <c r="E235" s="9" t="s">
        <v>366</v>
      </c>
      <c r="F235">
        <f>15.8/1000</f>
        <v>1.5800000000000002E-2</v>
      </c>
      <c r="G235">
        <v>0.3</v>
      </c>
      <c r="H235" t="s">
        <v>232</v>
      </c>
      <c r="I235" s="9">
        <v>103</v>
      </c>
      <c r="J235" s="9">
        <v>460</v>
      </c>
      <c r="K235" s="9" t="s">
        <v>249</v>
      </c>
      <c r="L235" s="9" t="s">
        <v>249</v>
      </c>
      <c r="M235" s="3" t="s">
        <v>48</v>
      </c>
      <c r="N235">
        <v>2007</v>
      </c>
      <c r="O235">
        <v>2007</v>
      </c>
      <c r="P235" t="s">
        <v>440</v>
      </c>
      <c r="Q235">
        <v>1</v>
      </c>
    </row>
    <row r="236" spans="1:17" ht="17.45" customHeight="1">
      <c r="A236" s="24" t="s">
        <v>129</v>
      </c>
      <c r="B236" t="s">
        <v>416</v>
      </c>
      <c r="C236" t="s">
        <v>442</v>
      </c>
      <c r="D236" s="9" t="s">
        <v>366</v>
      </c>
      <c r="E236" s="9" t="s">
        <v>366</v>
      </c>
      <c r="F236">
        <f>38.5/1000</f>
        <v>3.85E-2</v>
      </c>
      <c r="G236">
        <v>0.39</v>
      </c>
      <c r="H236" t="s">
        <v>232</v>
      </c>
      <c r="I236" s="9">
        <v>266</v>
      </c>
      <c r="J236" s="9">
        <v>1364</v>
      </c>
      <c r="K236" s="9" t="s">
        <v>249</v>
      </c>
      <c r="L236" s="9" t="s">
        <v>249</v>
      </c>
      <c r="M236" s="3" t="s">
        <v>48</v>
      </c>
      <c r="N236">
        <v>2008</v>
      </c>
      <c r="O236">
        <v>2008</v>
      </c>
      <c r="P236" t="s">
        <v>440</v>
      </c>
      <c r="Q236">
        <v>1</v>
      </c>
    </row>
    <row r="237" spans="1:17" ht="17.45" customHeight="1">
      <c r="A237" s="24" t="s">
        <v>129</v>
      </c>
      <c r="B237" t="s">
        <v>416</v>
      </c>
      <c r="C237" t="s">
        <v>443</v>
      </c>
      <c r="D237" s="9" t="s">
        <v>366</v>
      </c>
      <c r="E237" s="9" t="s">
        <v>366</v>
      </c>
      <c r="F237">
        <f>0.2/1000</f>
        <v>2.0000000000000001E-4</v>
      </c>
      <c r="G237">
        <v>0.4</v>
      </c>
      <c r="H237" t="s">
        <v>232</v>
      </c>
      <c r="I237" s="9">
        <v>0</v>
      </c>
      <c r="J237" s="9">
        <v>14</v>
      </c>
      <c r="K237" s="9" t="s">
        <v>249</v>
      </c>
      <c r="L237" s="9" t="s">
        <v>249</v>
      </c>
      <c r="M237" s="3" t="s">
        <v>48</v>
      </c>
      <c r="N237">
        <v>2006</v>
      </c>
      <c r="O237">
        <v>2006</v>
      </c>
      <c r="P237" t="s">
        <v>444</v>
      </c>
      <c r="Q237">
        <v>1</v>
      </c>
    </row>
    <row r="238" spans="1:17" ht="17.45" customHeight="1">
      <c r="A238" s="24" t="s">
        <v>129</v>
      </c>
      <c r="B238" t="s">
        <v>416</v>
      </c>
      <c r="C238" t="s">
        <v>445</v>
      </c>
      <c r="D238" s="9" t="s">
        <v>366</v>
      </c>
      <c r="E238" s="9" t="s">
        <v>366</v>
      </c>
      <c r="F238">
        <f>0/1000</f>
        <v>0</v>
      </c>
      <c r="G238" t="s">
        <v>249</v>
      </c>
      <c r="H238" t="s">
        <v>232</v>
      </c>
      <c r="I238" s="9" t="s">
        <v>249</v>
      </c>
      <c r="J238" s="9" t="s">
        <v>249</v>
      </c>
      <c r="K238" s="9" t="s">
        <v>249</v>
      </c>
      <c r="L238" s="9" t="s">
        <v>249</v>
      </c>
      <c r="M238" s="3" t="s">
        <v>48</v>
      </c>
      <c r="N238">
        <v>2007</v>
      </c>
      <c r="O238">
        <v>2007</v>
      </c>
      <c r="P238" t="s">
        <v>444</v>
      </c>
      <c r="Q238">
        <v>1</v>
      </c>
    </row>
    <row r="239" spans="1:17" ht="17.45" customHeight="1">
      <c r="A239" s="24" t="s">
        <v>129</v>
      </c>
      <c r="B239" t="s">
        <v>416</v>
      </c>
      <c r="C239" t="s">
        <v>446</v>
      </c>
      <c r="D239" s="9" t="s">
        <v>366</v>
      </c>
      <c r="E239" s="9" t="s">
        <v>366</v>
      </c>
      <c r="F239">
        <f>1.5/1000</f>
        <v>1.5E-3</v>
      </c>
      <c r="G239">
        <v>0.56000000000000005</v>
      </c>
      <c r="H239" t="s">
        <v>232</v>
      </c>
      <c r="I239" s="9">
        <v>0</v>
      </c>
      <c r="J239" s="9">
        <v>60</v>
      </c>
      <c r="K239" s="9" t="s">
        <v>249</v>
      </c>
      <c r="L239" s="9" t="s">
        <v>249</v>
      </c>
      <c r="M239" s="3" t="s">
        <v>48</v>
      </c>
      <c r="N239">
        <v>2008</v>
      </c>
      <c r="O239">
        <v>2008</v>
      </c>
      <c r="P239" t="s">
        <v>447</v>
      </c>
      <c r="Q239">
        <v>1</v>
      </c>
    </row>
    <row r="240" spans="1:17" ht="17.45" customHeight="1">
      <c r="A240" s="24" t="s">
        <v>129</v>
      </c>
      <c r="B240" t="s">
        <v>416</v>
      </c>
      <c r="C240" t="s">
        <v>448</v>
      </c>
      <c r="D240" s="9" t="s">
        <v>366</v>
      </c>
      <c r="E240" s="9" t="s">
        <v>366</v>
      </c>
      <c r="F240">
        <f>2/1000</f>
        <v>2E-3</v>
      </c>
      <c r="G240">
        <v>0.55000000000000004</v>
      </c>
      <c r="H240" t="s">
        <v>232</v>
      </c>
      <c r="I240" s="9">
        <v>0</v>
      </c>
      <c r="J240" s="9">
        <v>78</v>
      </c>
      <c r="K240" s="9" t="s">
        <v>249</v>
      </c>
      <c r="L240" s="9" t="s">
        <v>249</v>
      </c>
      <c r="M240" s="3" t="s">
        <v>48</v>
      </c>
      <c r="N240">
        <v>2006</v>
      </c>
      <c r="O240">
        <v>2006</v>
      </c>
      <c r="P240" t="s">
        <v>449</v>
      </c>
      <c r="Q240">
        <v>1</v>
      </c>
    </row>
    <row r="241" spans="1:17" ht="17.45" customHeight="1">
      <c r="A241" s="24" t="s">
        <v>129</v>
      </c>
      <c r="B241" t="s">
        <v>416</v>
      </c>
      <c r="C241" t="s">
        <v>450</v>
      </c>
      <c r="D241" s="9" t="s">
        <v>366</v>
      </c>
      <c r="E241" s="9" t="s">
        <v>366</v>
      </c>
      <c r="F241">
        <f>7.2/1000</f>
        <v>7.1999999999999998E-3</v>
      </c>
      <c r="G241">
        <v>0.5</v>
      </c>
      <c r="H241" t="s">
        <v>232</v>
      </c>
      <c r="I241" s="9">
        <v>30</v>
      </c>
      <c r="J241" s="9">
        <v>294</v>
      </c>
      <c r="K241" s="9" t="s">
        <v>249</v>
      </c>
      <c r="L241" s="9" t="s">
        <v>249</v>
      </c>
      <c r="M241" s="3" t="s">
        <v>48</v>
      </c>
      <c r="N241">
        <v>2007</v>
      </c>
      <c r="O241">
        <v>2007</v>
      </c>
      <c r="P241" t="s">
        <v>449</v>
      </c>
      <c r="Q241">
        <v>1</v>
      </c>
    </row>
    <row r="242" spans="1:17" ht="17.45" customHeight="1">
      <c r="A242" s="24" t="s">
        <v>129</v>
      </c>
      <c r="B242" t="s">
        <v>416</v>
      </c>
      <c r="C242" t="s">
        <v>451</v>
      </c>
      <c r="D242" s="9" t="s">
        <v>366</v>
      </c>
      <c r="E242" s="9" t="s">
        <v>366</v>
      </c>
      <c r="F242">
        <f>9.2/1000</f>
        <v>9.1999999999999998E-3</v>
      </c>
      <c r="G242">
        <v>0.36</v>
      </c>
      <c r="H242" t="s">
        <v>232</v>
      </c>
      <c r="I242" s="9">
        <v>48</v>
      </c>
      <c r="J242" s="9">
        <v>297</v>
      </c>
      <c r="K242" s="9" t="s">
        <v>249</v>
      </c>
      <c r="L242" s="9" t="s">
        <v>249</v>
      </c>
      <c r="M242" s="3" t="s">
        <v>48</v>
      </c>
      <c r="N242">
        <v>2008</v>
      </c>
      <c r="O242">
        <v>2008</v>
      </c>
      <c r="P242" t="s">
        <v>449</v>
      </c>
      <c r="Q242">
        <v>1</v>
      </c>
    </row>
    <row r="243" spans="1:17" ht="17.45" customHeight="1">
      <c r="A243" s="24" t="s">
        <v>134</v>
      </c>
      <c r="B243" t="s">
        <v>281</v>
      </c>
      <c r="C243" t="s">
        <v>452</v>
      </c>
      <c r="D243" s="9">
        <v>125000</v>
      </c>
      <c r="E243" s="9">
        <v>1229</v>
      </c>
      <c r="F243">
        <f>E243/D243</f>
        <v>9.8320000000000005E-3</v>
      </c>
      <c r="G243">
        <v>0.47</v>
      </c>
      <c r="H243" t="s">
        <v>232</v>
      </c>
      <c r="I243" s="9">
        <v>495</v>
      </c>
      <c r="J243" s="9">
        <v>2939</v>
      </c>
      <c r="K243" s="12">
        <f>I243/D243</f>
        <v>3.96E-3</v>
      </c>
      <c r="L243" s="12">
        <f>J243/D243</f>
        <v>2.3512000000000002E-2</v>
      </c>
      <c r="M243" s="3" t="s">
        <v>48</v>
      </c>
      <c r="N243">
        <v>2006</v>
      </c>
      <c r="O243">
        <v>2006</v>
      </c>
      <c r="P243" t="s">
        <v>453</v>
      </c>
      <c r="Q243">
        <v>1</v>
      </c>
    </row>
    <row r="244" spans="1:17" ht="17.45" customHeight="1">
      <c r="A244" s="24" t="s">
        <v>138</v>
      </c>
      <c r="B244" t="s">
        <v>295</v>
      </c>
      <c r="C244" t="s">
        <v>454</v>
      </c>
      <c r="D244" t="s">
        <v>249</v>
      </c>
      <c r="E244">
        <v>470</v>
      </c>
      <c r="F244">
        <v>7.4999999999999997E-2</v>
      </c>
      <c r="G244" t="s">
        <v>249</v>
      </c>
      <c r="H244" t="s">
        <v>249</v>
      </c>
      <c r="I244">
        <v>100</v>
      </c>
      <c r="J244">
        <v>2207</v>
      </c>
      <c r="K244">
        <v>1.6E-2</v>
      </c>
      <c r="L244">
        <v>3.5000000000000003E-2</v>
      </c>
      <c r="M244" s="3" t="s">
        <v>48</v>
      </c>
      <c r="N244">
        <v>2008</v>
      </c>
      <c r="O244">
        <v>2008</v>
      </c>
      <c r="P244" s="21">
        <v>39600</v>
      </c>
      <c r="Q244">
        <v>1</v>
      </c>
    </row>
    <row r="245" spans="1:17" ht="17.45" customHeight="1">
      <c r="A245" s="24" t="s">
        <v>142</v>
      </c>
      <c r="B245" t="s">
        <v>281</v>
      </c>
      <c r="C245" t="s">
        <v>455</v>
      </c>
      <c r="D245">
        <v>7111.56</v>
      </c>
      <c r="E245" t="s">
        <v>366</v>
      </c>
      <c r="F245">
        <f>1.806/100</f>
        <v>1.806E-2</v>
      </c>
      <c r="G245">
        <v>0.34</v>
      </c>
      <c r="H245" t="s">
        <v>326</v>
      </c>
      <c r="I245" s="11" t="s">
        <v>249</v>
      </c>
      <c r="J245" s="11" t="s">
        <v>249</v>
      </c>
      <c r="K245" s="11" t="s">
        <v>249</v>
      </c>
      <c r="L245" s="11" t="s">
        <v>249</v>
      </c>
      <c r="M245" s="3" t="s">
        <v>48</v>
      </c>
      <c r="N245">
        <v>2007</v>
      </c>
      <c r="O245">
        <v>2007</v>
      </c>
      <c r="P245" s="21" t="s">
        <v>456</v>
      </c>
      <c r="Q245">
        <v>1</v>
      </c>
    </row>
    <row r="246" spans="1:17" ht="17.45" customHeight="1">
      <c r="A246" s="24" t="s">
        <v>142</v>
      </c>
      <c r="B246" t="s">
        <v>281</v>
      </c>
      <c r="C246" t="s">
        <v>457</v>
      </c>
      <c r="D246">
        <v>5054.45</v>
      </c>
      <c r="E246" t="s">
        <v>366</v>
      </c>
      <c r="F246">
        <f>2.616/100</f>
        <v>2.6160000000000003E-2</v>
      </c>
      <c r="G246">
        <v>0.5</v>
      </c>
      <c r="H246" t="s">
        <v>326</v>
      </c>
      <c r="I246" s="11" t="s">
        <v>249</v>
      </c>
      <c r="J246" s="11" t="s">
        <v>249</v>
      </c>
      <c r="K246" s="11" t="s">
        <v>249</v>
      </c>
      <c r="L246" s="11" t="s">
        <v>249</v>
      </c>
      <c r="M246" s="3" t="s">
        <v>48</v>
      </c>
      <c r="N246">
        <v>2008</v>
      </c>
      <c r="O246">
        <v>2008</v>
      </c>
      <c r="P246" s="21" t="s">
        <v>458</v>
      </c>
      <c r="Q246">
        <v>1</v>
      </c>
    </row>
    <row r="247" spans="1:17" ht="17.45" customHeight="1">
      <c r="A247" s="24" t="s">
        <v>142</v>
      </c>
      <c r="B247" t="s">
        <v>281</v>
      </c>
      <c r="C247" t="s">
        <v>459</v>
      </c>
      <c r="D247">
        <v>8415.11</v>
      </c>
      <c r="E247" t="s">
        <v>366</v>
      </c>
      <c r="F247">
        <f>0.66/100</f>
        <v>6.6E-3</v>
      </c>
      <c r="G247">
        <v>0.13</v>
      </c>
      <c r="H247" t="s">
        <v>326</v>
      </c>
      <c r="I247" s="11" t="s">
        <v>249</v>
      </c>
      <c r="J247" s="11" t="s">
        <v>249</v>
      </c>
      <c r="K247" s="11" t="s">
        <v>249</v>
      </c>
      <c r="L247" s="11" t="s">
        <v>249</v>
      </c>
      <c r="M247" s="3" t="s">
        <v>48</v>
      </c>
      <c r="N247">
        <v>2009</v>
      </c>
      <c r="O247">
        <v>2009</v>
      </c>
      <c r="P247" s="21" t="s">
        <v>460</v>
      </c>
      <c r="Q247">
        <v>1</v>
      </c>
    </row>
    <row r="248" spans="1:17" ht="17.45" customHeight="1">
      <c r="A248" s="24" t="s">
        <v>146</v>
      </c>
      <c r="B248" t="s">
        <v>281</v>
      </c>
      <c r="C248" t="s">
        <v>461</v>
      </c>
      <c r="D248" s="4">
        <v>9464</v>
      </c>
      <c r="E248" s="4">
        <v>1157</v>
      </c>
      <c r="F248">
        <f t="shared" ref="F248:F282" si="12">E248/D248</f>
        <v>0.12225274725274725</v>
      </c>
      <c r="G248" s="22">
        <v>0.82</v>
      </c>
      <c r="H248" t="s">
        <v>232</v>
      </c>
      <c r="I248">
        <v>283</v>
      </c>
      <c r="J248">
        <v>4721</v>
      </c>
      <c r="K248" s="12">
        <f t="shared" ref="K248:K257" si="13">I248/D248</f>
        <v>2.9902789518174135E-2</v>
      </c>
      <c r="L248" s="12">
        <f t="shared" ref="L248:L257" si="14">J248/D248</f>
        <v>0.49883770076077766</v>
      </c>
      <c r="M248" s="3" t="s">
        <v>48</v>
      </c>
      <c r="N248">
        <v>2003</v>
      </c>
      <c r="O248">
        <v>2003</v>
      </c>
      <c r="P248" s="21" t="s">
        <v>462</v>
      </c>
      <c r="Q248">
        <v>1</v>
      </c>
    </row>
    <row r="249" spans="1:17" ht="17.45" customHeight="1">
      <c r="A249" s="24" t="s">
        <v>146</v>
      </c>
      <c r="B249" t="s">
        <v>281</v>
      </c>
      <c r="C249" t="s">
        <v>463</v>
      </c>
      <c r="D249" s="4">
        <v>51387</v>
      </c>
      <c r="E249" s="4">
        <v>388</v>
      </c>
      <c r="F249">
        <f t="shared" si="12"/>
        <v>7.5505478039192796E-3</v>
      </c>
      <c r="G249" s="22">
        <v>1.21</v>
      </c>
      <c r="H249" t="s">
        <v>232</v>
      </c>
      <c r="I249">
        <v>60</v>
      </c>
      <c r="J249">
        <v>2510</v>
      </c>
      <c r="K249" s="12">
        <f t="shared" si="13"/>
        <v>1.1676104851421566E-3</v>
      </c>
      <c r="L249" s="12">
        <f t="shared" si="14"/>
        <v>4.8845038628446885E-2</v>
      </c>
      <c r="M249" s="3" t="s">
        <v>48</v>
      </c>
      <c r="N249">
        <v>2003</v>
      </c>
      <c r="O249">
        <v>2003</v>
      </c>
      <c r="P249" s="21" t="s">
        <v>462</v>
      </c>
      <c r="Q249">
        <v>1</v>
      </c>
    </row>
    <row r="250" spans="1:17" ht="17.45" customHeight="1">
      <c r="A250" s="24" t="s">
        <v>146</v>
      </c>
      <c r="B250" t="s">
        <v>281</v>
      </c>
      <c r="C250" t="s">
        <v>243</v>
      </c>
      <c r="D250" s="4">
        <v>5914</v>
      </c>
      <c r="E250" s="4">
        <v>2046</v>
      </c>
      <c r="F250">
        <f t="shared" si="12"/>
        <v>0.34595874196821103</v>
      </c>
      <c r="G250" s="22">
        <v>0.77</v>
      </c>
      <c r="H250" t="s">
        <v>232</v>
      </c>
      <c r="I250" s="11">
        <v>541</v>
      </c>
      <c r="J250" s="11">
        <v>7742</v>
      </c>
      <c r="K250" s="12">
        <f t="shared" si="13"/>
        <v>9.1477849171457556E-2</v>
      </c>
      <c r="L250" s="12">
        <f t="shared" si="14"/>
        <v>1.3090970578288805</v>
      </c>
      <c r="M250" s="3" t="s">
        <v>48</v>
      </c>
      <c r="N250">
        <v>2002</v>
      </c>
      <c r="O250">
        <v>2002</v>
      </c>
      <c r="P250" s="21" t="s">
        <v>464</v>
      </c>
      <c r="Q250">
        <v>1</v>
      </c>
    </row>
    <row r="251" spans="1:17" ht="17.45" customHeight="1">
      <c r="A251" s="24" t="s">
        <v>146</v>
      </c>
      <c r="B251" t="s">
        <v>281</v>
      </c>
      <c r="C251" t="s">
        <v>465</v>
      </c>
      <c r="D251" s="4">
        <v>38537</v>
      </c>
      <c r="E251" s="4">
        <v>1250</v>
      </c>
      <c r="F251">
        <f t="shared" si="12"/>
        <v>3.2436359861950856E-2</v>
      </c>
      <c r="G251" s="22">
        <v>0.97</v>
      </c>
      <c r="H251" t="s">
        <v>232</v>
      </c>
      <c r="I251">
        <v>252</v>
      </c>
      <c r="J251">
        <v>6204</v>
      </c>
      <c r="K251" s="12">
        <f t="shared" si="13"/>
        <v>6.5391701481692915E-3</v>
      </c>
      <c r="L251" s="12">
        <f t="shared" si="14"/>
        <v>0.16098814126683447</v>
      </c>
      <c r="M251" s="3" t="s">
        <v>48</v>
      </c>
      <c r="N251">
        <v>2003</v>
      </c>
      <c r="O251">
        <v>2003</v>
      </c>
      <c r="P251" s="21" t="s">
        <v>462</v>
      </c>
      <c r="Q251">
        <v>1</v>
      </c>
    </row>
    <row r="252" spans="1:17" ht="17.45" customHeight="1">
      <c r="A252" s="24" t="s">
        <v>146</v>
      </c>
      <c r="B252" t="s">
        <v>281</v>
      </c>
      <c r="C252" t="s">
        <v>466</v>
      </c>
      <c r="D252" s="4">
        <v>294</v>
      </c>
      <c r="E252" s="4">
        <v>47</v>
      </c>
      <c r="F252">
        <f t="shared" si="12"/>
        <v>0.1598639455782313</v>
      </c>
      <c r="G252" s="22">
        <v>0.98</v>
      </c>
      <c r="H252" t="s">
        <v>232</v>
      </c>
      <c r="I252">
        <v>14</v>
      </c>
      <c r="J252">
        <v>157</v>
      </c>
      <c r="K252" s="12">
        <f t="shared" si="13"/>
        <v>4.7619047619047616E-2</v>
      </c>
      <c r="L252" s="12">
        <f t="shared" si="14"/>
        <v>0.53401360544217691</v>
      </c>
      <c r="M252" s="3" t="s">
        <v>48</v>
      </c>
      <c r="N252">
        <v>2003</v>
      </c>
      <c r="O252">
        <v>2003</v>
      </c>
      <c r="P252" s="21" t="s">
        <v>462</v>
      </c>
      <c r="Q252">
        <v>1</v>
      </c>
    </row>
    <row r="253" spans="1:17" ht="17.45" customHeight="1">
      <c r="A253" s="24" t="s">
        <v>146</v>
      </c>
      <c r="B253" t="s">
        <v>281</v>
      </c>
      <c r="C253" t="s">
        <v>467</v>
      </c>
      <c r="D253" s="4">
        <v>87195</v>
      </c>
      <c r="E253" s="4">
        <v>12354</v>
      </c>
      <c r="F253">
        <f t="shared" si="12"/>
        <v>0.14168243591949078</v>
      </c>
      <c r="G253" s="22">
        <v>0.64</v>
      </c>
      <c r="H253" t="s">
        <v>232</v>
      </c>
      <c r="I253">
        <v>3945</v>
      </c>
      <c r="J253">
        <v>38688</v>
      </c>
      <c r="K253" s="12">
        <f t="shared" si="13"/>
        <v>4.5243419920867022E-2</v>
      </c>
      <c r="L253" s="12">
        <f t="shared" si="14"/>
        <v>0.44369516600722519</v>
      </c>
      <c r="M253" s="3" t="s">
        <v>48</v>
      </c>
      <c r="N253">
        <v>2002</v>
      </c>
      <c r="O253">
        <v>2002</v>
      </c>
      <c r="P253" s="21" t="s">
        <v>464</v>
      </c>
      <c r="Q253">
        <v>1</v>
      </c>
    </row>
    <row r="254" spans="1:17" ht="17.45" customHeight="1">
      <c r="A254" s="24" t="s">
        <v>146</v>
      </c>
      <c r="B254" t="s">
        <v>281</v>
      </c>
      <c r="C254" t="s">
        <v>468</v>
      </c>
      <c r="D254" s="4">
        <v>29763</v>
      </c>
      <c r="E254" s="4">
        <v>487</v>
      </c>
      <c r="F254">
        <f t="shared" si="12"/>
        <v>1.6362597856398885E-2</v>
      </c>
      <c r="G254" s="22">
        <v>1.08</v>
      </c>
      <c r="H254" t="s">
        <v>232</v>
      </c>
      <c r="I254">
        <v>87</v>
      </c>
      <c r="J254">
        <v>2731</v>
      </c>
      <c r="K254" s="12">
        <f t="shared" si="13"/>
        <v>2.9230924301985686E-3</v>
      </c>
      <c r="L254" s="12">
        <f t="shared" si="14"/>
        <v>9.175822329738266E-2</v>
      </c>
      <c r="M254" s="3" t="s">
        <v>48</v>
      </c>
      <c r="N254">
        <v>2003</v>
      </c>
      <c r="O254">
        <v>2003</v>
      </c>
      <c r="P254" s="21" t="s">
        <v>462</v>
      </c>
      <c r="Q254">
        <v>1</v>
      </c>
    </row>
    <row r="255" spans="1:17" ht="17.45" customHeight="1">
      <c r="A255" s="24" t="s">
        <v>146</v>
      </c>
      <c r="B255" t="s">
        <v>281</v>
      </c>
      <c r="C255" t="s">
        <v>469</v>
      </c>
      <c r="D255" s="4">
        <f>SUM(D253:D254)</f>
        <v>116958</v>
      </c>
      <c r="E255" s="4">
        <v>14400</v>
      </c>
      <c r="F255">
        <f t="shared" si="12"/>
        <v>0.12312112040219567</v>
      </c>
      <c r="G255" s="22">
        <v>0.61</v>
      </c>
      <c r="H255" t="s">
        <v>232</v>
      </c>
      <c r="I255">
        <v>4811</v>
      </c>
      <c r="J255">
        <v>43105</v>
      </c>
      <c r="K255" s="12">
        <f t="shared" si="13"/>
        <v>4.1134424323261344E-2</v>
      </c>
      <c r="L255" s="12">
        <f t="shared" si="14"/>
        <v>0.36855110381504469</v>
      </c>
      <c r="M255" s="3" t="s">
        <v>48</v>
      </c>
      <c r="N255">
        <v>2002</v>
      </c>
      <c r="O255">
        <v>2002</v>
      </c>
      <c r="P255" s="21" t="s">
        <v>464</v>
      </c>
      <c r="Q255">
        <v>1</v>
      </c>
    </row>
    <row r="256" spans="1:17" ht="17.45" customHeight="1">
      <c r="A256" s="24" t="s">
        <v>146</v>
      </c>
      <c r="B256" t="s">
        <v>281</v>
      </c>
      <c r="C256" t="s">
        <v>470</v>
      </c>
      <c r="D256" s="9">
        <f>SUM(D253:D255)</f>
        <v>233916</v>
      </c>
      <c r="E256" s="4">
        <v>1784</v>
      </c>
      <c r="F256">
        <f t="shared" si="12"/>
        <v>7.6266694026915641E-3</v>
      </c>
      <c r="G256" s="22">
        <v>0.81</v>
      </c>
      <c r="H256" t="s">
        <v>232</v>
      </c>
      <c r="I256">
        <v>441</v>
      </c>
      <c r="J256">
        <v>7211</v>
      </c>
      <c r="K256" s="12">
        <f t="shared" si="13"/>
        <v>1.885292156158621E-3</v>
      </c>
      <c r="L256" s="12">
        <f t="shared" si="14"/>
        <v>3.0827305528480311E-2</v>
      </c>
      <c r="M256" s="3" t="s">
        <v>48</v>
      </c>
      <c r="N256">
        <v>2003</v>
      </c>
      <c r="O256">
        <v>2003</v>
      </c>
      <c r="P256" s="21" t="s">
        <v>462</v>
      </c>
      <c r="Q256">
        <v>1</v>
      </c>
    </row>
    <row r="257" spans="1:17" ht="17.45" customHeight="1">
      <c r="A257" s="24" t="s">
        <v>150</v>
      </c>
      <c r="B257" t="s">
        <v>281</v>
      </c>
      <c r="C257" t="s">
        <v>471</v>
      </c>
      <c r="D257" s="4">
        <v>2195</v>
      </c>
      <c r="E257" s="4">
        <v>1105</v>
      </c>
      <c r="F257">
        <f t="shared" si="12"/>
        <v>0.50341685649202739</v>
      </c>
      <c r="G257" s="22">
        <v>0.38600000000000001</v>
      </c>
      <c r="H257" t="s">
        <v>232</v>
      </c>
      <c r="I257">
        <v>532</v>
      </c>
      <c r="J257">
        <v>2294</v>
      </c>
      <c r="K257" s="13">
        <f t="shared" si="13"/>
        <v>0.24236902050113895</v>
      </c>
      <c r="L257" s="13">
        <f t="shared" si="14"/>
        <v>1.0451025056947609</v>
      </c>
      <c r="M257" s="3" t="s">
        <v>48</v>
      </c>
      <c r="N257">
        <v>2009</v>
      </c>
      <c r="O257">
        <v>2009</v>
      </c>
      <c r="P257" s="6">
        <v>44823</v>
      </c>
      <c r="Q257">
        <v>1</v>
      </c>
    </row>
    <row r="258" spans="1:17" ht="17.45" customHeight="1">
      <c r="A258" s="24" t="s">
        <v>153</v>
      </c>
      <c r="B258" t="s">
        <v>294</v>
      </c>
      <c r="C258" t="s">
        <v>472</v>
      </c>
      <c r="D258">
        <v>5598</v>
      </c>
      <c r="E258">
        <v>7876</v>
      </c>
      <c r="F258">
        <f t="shared" si="12"/>
        <v>1.4069310468024294</v>
      </c>
      <c r="G258">
        <v>28.9</v>
      </c>
      <c r="H258" t="s">
        <v>232</v>
      </c>
      <c r="I258" s="9" t="s">
        <v>249</v>
      </c>
      <c r="J258" s="9" t="s">
        <v>249</v>
      </c>
      <c r="K258" s="9" t="s">
        <v>249</v>
      </c>
      <c r="L258" s="9" t="s">
        <v>249</v>
      </c>
      <c r="M258" s="3" t="s">
        <v>48</v>
      </c>
      <c r="N258">
        <v>2015</v>
      </c>
      <c r="O258">
        <v>2015</v>
      </c>
      <c r="P258" s="21">
        <v>42217</v>
      </c>
      <c r="Q258">
        <v>1</v>
      </c>
    </row>
    <row r="259" spans="1:17" ht="17.45" customHeight="1">
      <c r="A259" s="24" t="s">
        <v>153</v>
      </c>
      <c r="B259" t="s">
        <v>294</v>
      </c>
      <c r="C259" t="s">
        <v>473</v>
      </c>
      <c r="D259">
        <v>9119</v>
      </c>
      <c r="E259">
        <v>23248</v>
      </c>
      <c r="F259">
        <f t="shared" si="12"/>
        <v>2.5494023467485469</v>
      </c>
      <c r="G259">
        <v>20</v>
      </c>
      <c r="H259" t="s">
        <v>232</v>
      </c>
      <c r="I259" s="9" t="s">
        <v>249</v>
      </c>
      <c r="J259" s="9" t="s">
        <v>249</v>
      </c>
      <c r="K259" s="9" t="s">
        <v>249</v>
      </c>
      <c r="L259" s="9" t="s">
        <v>249</v>
      </c>
      <c r="M259" s="3" t="s">
        <v>48</v>
      </c>
      <c r="N259">
        <v>2015</v>
      </c>
      <c r="O259">
        <v>2015</v>
      </c>
      <c r="P259" s="21">
        <v>42217</v>
      </c>
      <c r="Q259">
        <v>1</v>
      </c>
    </row>
    <row r="260" spans="1:17" ht="17.45" customHeight="1">
      <c r="A260" s="24" t="s">
        <v>153</v>
      </c>
      <c r="B260" t="s">
        <v>294</v>
      </c>
      <c r="C260" t="s">
        <v>474</v>
      </c>
      <c r="D260">
        <v>36095</v>
      </c>
      <c r="E260">
        <v>64</v>
      </c>
      <c r="F260">
        <f t="shared" si="12"/>
        <v>1.7730987671422634E-3</v>
      </c>
      <c r="G260">
        <v>97.7</v>
      </c>
      <c r="H260" t="s">
        <v>232</v>
      </c>
      <c r="I260" s="9" t="s">
        <v>249</v>
      </c>
      <c r="J260" s="9" t="s">
        <v>249</v>
      </c>
      <c r="K260" s="9" t="s">
        <v>249</v>
      </c>
      <c r="L260" s="9" t="s">
        <v>249</v>
      </c>
      <c r="M260" s="3" t="s">
        <v>48</v>
      </c>
      <c r="N260">
        <v>2015</v>
      </c>
      <c r="O260">
        <v>2015</v>
      </c>
      <c r="P260" s="21">
        <v>42217</v>
      </c>
      <c r="Q260">
        <v>1</v>
      </c>
    </row>
    <row r="261" spans="1:17" ht="17.45" customHeight="1">
      <c r="A261" s="24" t="s">
        <v>155</v>
      </c>
      <c r="B261" t="s">
        <v>294</v>
      </c>
      <c r="C261" t="s">
        <v>475</v>
      </c>
      <c r="D261">
        <f>(5770+6245)</f>
        <v>12015</v>
      </c>
      <c r="E261">
        <v>1574</v>
      </c>
      <c r="F261">
        <f t="shared" si="12"/>
        <v>0.13100291302538494</v>
      </c>
      <c r="G261">
        <v>0.13</v>
      </c>
      <c r="H261" t="s">
        <v>232</v>
      </c>
      <c r="I261">
        <v>1189</v>
      </c>
      <c r="J261">
        <v>2021</v>
      </c>
      <c r="K261" s="12">
        <f>I261/D261</f>
        <v>9.8959633791094459E-2</v>
      </c>
      <c r="L261" s="12">
        <f>J261/D261</f>
        <v>0.16820640865584685</v>
      </c>
      <c r="M261" s="3" t="s">
        <v>48</v>
      </c>
      <c r="N261">
        <v>2014</v>
      </c>
      <c r="O261">
        <v>2014</v>
      </c>
      <c r="P261" t="s">
        <v>476</v>
      </c>
      <c r="Q261">
        <v>1</v>
      </c>
    </row>
    <row r="262" spans="1:17" ht="17.45" customHeight="1">
      <c r="A262" s="24" t="s">
        <v>158</v>
      </c>
      <c r="B262" t="s">
        <v>294</v>
      </c>
      <c r="C262" t="s">
        <v>477</v>
      </c>
      <c r="D262">
        <v>3299</v>
      </c>
      <c r="E262">
        <v>548</v>
      </c>
      <c r="F262">
        <f t="shared" si="12"/>
        <v>0.16611094270991208</v>
      </c>
      <c r="G262">
        <v>44.5</v>
      </c>
      <c r="H262" t="s">
        <v>478</v>
      </c>
      <c r="I262">
        <v>240</v>
      </c>
      <c r="J262">
        <v>1256</v>
      </c>
      <c r="K262" s="12">
        <f>I262/D262</f>
        <v>7.2749317975143987E-2</v>
      </c>
      <c r="L262" s="12">
        <f>J262/D262</f>
        <v>0.38072143073658682</v>
      </c>
      <c r="M262" s="3" t="s">
        <v>48</v>
      </c>
      <c r="N262">
        <v>2014</v>
      </c>
      <c r="O262">
        <v>2014</v>
      </c>
      <c r="P262" s="21">
        <v>41852</v>
      </c>
      <c r="Q262">
        <v>1</v>
      </c>
    </row>
    <row r="263" spans="1:17" ht="17.45" customHeight="1">
      <c r="A263" s="24" t="s">
        <v>158</v>
      </c>
      <c r="B263" t="s">
        <v>294</v>
      </c>
      <c r="C263" t="s">
        <v>479</v>
      </c>
      <c r="D263">
        <v>3299</v>
      </c>
      <c r="E263">
        <v>987</v>
      </c>
      <c r="F263">
        <f t="shared" si="12"/>
        <v>0.29918157017277963</v>
      </c>
      <c r="G263">
        <v>48.4</v>
      </c>
      <c r="H263" t="s">
        <v>478</v>
      </c>
      <c r="I263" s="9" t="s">
        <v>249</v>
      </c>
      <c r="J263" s="9" t="s">
        <v>249</v>
      </c>
      <c r="K263" s="9" t="s">
        <v>249</v>
      </c>
      <c r="L263" s="9" t="s">
        <v>249</v>
      </c>
      <c r="M263" s="3" t="s">
        <v>48</v>
      </c>
      <c r="N263">
        <v>2014</v>
      </c>
      <c r="O263">
        <v>2014</v>
      </c>
      <c r="P263" s="23">
        <v>41854</v>
      </c>
      <c r="Q263">
        <v>1</v>
      </c>
    </row>
    <row r="264" spans="1:17" ht="17.45" customHeight="1">
      <c r="A264" s="24" t="s">
        <v>158</v>
      </c>
      <c r="B264" t="s">
        <v>294</v>
      </c>
      <c r="C264" t="s">
        <v>480</v>
      </c>
      <c r="D264">
        <v>3299</v>
      </c>
      <c r="E264">
        <v>103</v>
      </c>
      <c r="F264">
        <f t="shared" si="12"/>
        <v>3.1221582297665959E-2</v>
      </c>
      <c r="G264">
        <v>57.1</v>
      </c>
      <c r="H264" t="s">
        <v>478</v>
      </c>
      <c r="I264" s="9" t="s">
        <v>249</v>
      </c>
      <c r="J264" s="9" t="s">
        <v>249</v>
      </c>
      <c r="K264" s="9" t="s">
        <v>249</v>
      </c>
      <c r="L264" s="9" t="s">
        <v>249</v>
      </c>
      <c r="M264" s="3" t="s">
        <v>48</v>
      </c>
      <c r="N264">
        <v>2014</v>
      </c>
      <c r="O264">
        <v>2014</v>
      </c>
      <c r="P264" s="23">
        <v>41861</v>
      </c>
      <c r="Q264">
        <v>1</v>
      </c>
    </row>
    <row r="265" spans="1:17" ht="17.45" customHeight="1">
      <c r="A265" s="24" t="s">
        <v>158</v>
      </c>
      <c r="B265" t="s">
        <v>294</v>
      </c>
      <c r="C265" t="s">
        <v>481</v>
      </c>
      <c r="D265">
        <v>8377</v>
      </c>
      <c r="E265">
        <v>0</v>
      </c>
      <c r="F265">
        <f t="shared" si="12"/>
        <v>0</v>
      </c>
      <c r="G265" t="s">
        <v>249</v>
      </c>
      <c r="H265" s="9" t="s">
        <v>249</v>
      </c>
      <c r="I265" s="9" t="s">
        <v>249</v>
      </c>
      <c r="J265" s="9" t="s">
        <v>249</v>
      </c>
      <c r="K265" s="9" t="s">
        <v>249</v>
      </c>
      <c r="L265" s="9" t="s">
        <v>249</v>
      </c>
      <c r="M265" s="3" t="s">
        <v>48</v>
      </c>
      <c r="N265">
        <v>2014</v>
      </c>
      <c r="O265">
        <v>2014</v>
      </c>
      <c r="P265" s="21">
        <v>41852</v>
      </c>
      <c r="Q265">
        <v>1</v>
      </c>
    </row>
    <row r="266" spans="1:17" ht="17.45" customHeight="1">
      <c r="A266" s="24" t="s">
        <v>160</v>
      </c>
      <c r="B266" t="s">
        <v>294</v>
      </c>
      <c r="C266" t="s">
        <v>482</v>
      </c>
      <c r="D266">
        <v>5787</v>
      </c>
      <c r="E266">
        <v>979</v>
      </c>
      <c r="F266">
        <f t="shared" si="12"/>
        <v>0.16917228270260928</v>
      </c>
      <c r="G266">
        <v>14</v>
      </c>
      <c r="H266" t="s">
        <v>478</v>
      </c>
      <c r="I266">
        <v>750</v>
      </c>
      <c r="J266">
        <v>1277</v>
      </c>
      <c r="K266" s="12">
        <f>I266/D266</f>
        <v>0.12960082944530846</v>
      </c>
      <c r="L266" s="12">
        <f>J266/D266</f>
        <v>0.22066701226887853</v>
      </c>
      <c r="M266" s="3" t="s">
        <v>48</v>
      </c>
      <c r="N266">
        <v>2009</v>
      </c>
      <c r="O266">
        <v>2009</v>
      </c>
      <c r="P266" t="s">
        <v>483</v>
      </c>
      <c r="Q266">
        <v>1</v>
      </c>
    </row>
    <row r="267" spans="1:17" ht="17.45" customHeight="1">
      <c r="A267" s="24" t="s">
        <v>162</v>
      </c>
      <c r="B267" t="s">
        <v>294</v>
      </c>
      <c r="C267" t="s">
        <v>484</v>
      </c>
      <c r="D267">
        <v>72552</v>
      </c>
      <c r="E267">
        <v>3351</v>
      </c>
      <c r="F267">
        <f t="shared" si="12"/>
        <v>4.6187562024478997E-2</v>
      </c>
      <c r="G267">
        <v>48.9</v>
      </c>
      <c r="H267" t="s">
        <v>478</v>
      </c>
      <c r="I267">
        <v>1552</v>
      </c>
      <c r="J267">
        <v>7855</v>
      </c>
      <c r="K267" s="12">
        <f>I267/D267</f>
        <v>2.1391553644282722E-2</v>
      </c>
      <c r="L267" s="12">
        <f>J267/D267</f>
        <v>0.10826717388907267</v>
      </c>
      <c r="M267" s="3" t="s">
        <v>48</v>
      </c>
      <c r="N267">
        <v>2011</v>
      </c>
      <c r="O267">
        <v>2011</v>
      </c>
      <c r="P267" t="s">
        <v>485</v>
      </c>
      <c r="Q267">
        <v>1</v>
      </c>
    </row>
    <row r="268" spans="1:17" ht="17.45" customHeight="1">
      <c r="A268" s="24" t="s">
        <v>162</v>
      </c>
      <c r="B268" t="s">
        <v>294</v>
      </c>
      <c r="C268" t="s">
        <v>486</v>
      </c>
      <c r="D268">
        <v>1872</v>
      </c>
      <c r="E268">
        <v>0</v>
      </c>
      <c r="F268">
        <f t="shared" si="12"/>
        <v>0</v>
      </c>
      <c r="G268" s="11" t="s">
        <v>249</v>
      </c>
      <c r="H268" s="11" t="s">
        <v>249</v>
      </c>
      <c r="I268" s="11" t="s">
        <v>249</v>
      </c>
      <c r="J268" s="11" t="s">
        <v>249</v>
      </c>
      <c r="K268" s="11" t="s">
        <v>249</v>
      </c>
      <c r="L268" s="11" t="s">
        <v>249</v>
      </c>
      <c r="M268" s="3" t="s">
        <v>48</v>
      </c>
      <c r="N268">
        <v>2011</v>
      </c>
      <c r="O268">
        <v>2011</v>
      </c>
      <c r="P268" t="s">
        <v>485</v>
      </c>
      <c r="Q268">
        <v>1</v>
      </c>
    </row>
    <row r="269" spans="1:17" ht="17.45" customHeight="1">
      <c r="A269" s="24" t="s">
        <v>162</v>
      </c>
      <c r="B269" t="s">
        <v>294</v>
      </c>
      <c r="C269" t="s">
        <v>487</v>
      </c>
      <c r="D269">
        <v>78272</v>
      </c>
      <c r="E269">
        <v>14967</v>
      </c>
      <c r="F269">
        <f t="shared" si="12"/>
        <v>0.19121780457890433</v>
      </c>
      <c r="G269">
        <v>30.2</v>
      </c>
      <c r="H269" t="s">
        <v>478</v>
      </c>
      <c r="I269">
        <v>8316</v>
      </c>
      <c r="J269">
        <v>26939</v>
      </c>
      <c r="K269" s="12">
        <f>I269/D269</f>
        <v>0.1062448896156991</v>
      </c>
      <c r="L269" s="12">
        <f>J269/D269</f>
        <v>0.34417160670482422</v>
      </c>
      <c r="M269" s="3" t="s">
        <v>48</v>
      </c>
      <c r="N269">
        <v>2011</v>
      </c>
      <c r="O269">
        <v>2011</v>
      </c>
      <c r="P269" t="s">
        <v>485</v>
      </c>
      <c r="Q269">
        <v>1</v>
      </c>
    </row>
    <row r="270" spans="1:17" ht="17.45" customHeight="1">
      <c r="A270" s="24" t="s">
        <v>164</v>
      </c>
      <c r="B270" t="s">
        <v>240</v>
      </c>
      <c r="C270" t="s">
        <v>488</v>
      </c>
      <c r="D270">
        <v>2937</v>
      </c>
      <c r="E270">
        <v>6118</v>
      </c>
      <c r="F270">
        <f t="shared" si="12"/>
        <v>2.0830779707184202</v>
      </c>
      <c r="G270">
        <v>0.4</v>
      </c>
      <c r="H270" t="s">
        <v>232</v>
      </c>
      <c r="I270" s="11" t="s">
        <v>249</v>
      </c>
      <c r="J270" s="11" t="s">
        <v>249</v>
      </c>
      <c r="K270" s="11" t="s">
        <v>249</v>
      </c>
      <c r="L270" s="11" t="s">
        <v>249</v>
      </c>
      <c r="M270" s="3" t="s">
        <v>48</v>
      </c>
      <c r="N270">
        <v>2016</v>
      </c>
      <c r="O270">
        <v>2016</v>
      </c>
      <c r="P270" t="s">
        <v>489</v>
      </c>
      <c r="Q270">
        <v>1</v>
      </c>
    </row>
    <row r="271" spans="1:17" ht="17.45" customHeight="1">
      <c r="A271" s="24" t="s">
        <v>164</v>
      </c>
      <c r="B271" t="s">
        <v>240</v>
      </c>
      <c r="C271" t="s">
        <v>490</v>
      </c>
      <c r="D271">
        <v>236</v>
      </c>
      <c r="E271">
        <v>1914</v>
      </c>
      <c r="F271">
        <f t="shared" si="12"/>
        <v>8.1101694915254239</v>
      </c>
      <c r="G271">
        <v>0.15</v>
      </c>
      <c r="H271" t="s">
        <v>232</v>
      </c>
      <c r="I271" s="11" t="s">
        <v>249</v>
      </c>
      <c r="J271" s="11" t="s">
        <v>249</v>
      </c>
      <c r="K271" s="11" t="s">
        <v>249</v>
      </c>
      <c r="L271" s="11" t="s">
        <v>249</v>
      </c>
      <c r="M271" s="3" t="s">
        <v>48</v>
      </c>
      <c r="N271">
        <v>2016</v>
      </c>
      <c r="O271">
        <v>2016</v>
      </c>
      <c r="P271" t="s">
        <v>489</v>
      </c>
      <c r="Q271">
        <v>1</v>
      </c>
    </row>
    <row r="272" spans="1:17" ht="17.45" customHeight="1">
      <c r="A272" s="24" t="s">
        <v>164</v>
      </c>
      <c r="B272" t="s">
        <v>240</v>
      </c>
      <c r="C272" t="s">
        <v>491</v>
      </c>
      <c r="D272">
        <v>752</v>
      </c>
      <c r="E272">
        <v>2713</v>
      </c>
      <c r="F272">
        <f t="shared" si="12"/>
        <v>3.6077127659574466</v>
      </c>
      <c r="G272">
        <v>0.4</v>
      </c>
      <c r="H272" t="s">
        <v>232</v>
      </c>
      <c r="I272" s="11" t="s">
        <v>249</v>
      </c>
      <c r="J272" s="11" t="s">
        <v>249</v>
      </c>
      <c r="K272" s="11" t="s">
        <v>249</v>
      </c>
      <c r="L272" s="11" t="s">
        <v>249</v>
      </c>
      <c r="M272" s="3" t="s">
        <v>48</v>
      </c>
      <c r="N272">
        <v>2016</v>
      </c>
      <c r="O272">
        <v>2016</v>
      </c>
      <c r="P272" t="s">
        <v>489</v>
      </c>
      <c r="Q272">
        <v>1</v>
      </c>
    </row>
    <row r="273" spans="1:17" ht="17.45" customHeight="1">
      <c r="A273" s="24" t="s">
        <v>164</v>
      </c>
      <c r="B273" t="s">
        <v>240</v>
      </c>
      <c r="C273" t="s">
        <v>492</v>
      </c>
      <c r="D273">
        <v>155</v>
      </c>
      <c r="E273">
        <v>1294</v>
      </c>
      <c r="F273">
        <f t="shared" si="12"/>
        <v>8.3483870967741929</v>
      </c>
      <c r="G273">
        <v>0.14000000000000001</v>
      </c>
      <c r="H273" t="s">
        <v>232</v>
      </c>
      <c r="I273" s="11" t="s">
        <v>249</v>
      </c>
      <c r="J273" s="11" t="s">
        <v>249</v>
      </c>
      <c r="K273" s="11" t="s">
        <v>249</v>
      </c>
      <c r="L273" s="11" t="s">
        <v>249</v>
      </c>
      <c r="M273" s="3" t="s">
        <v>48</v>
      </c>
      <c r="N273">
        <v>2016</v>
      </c>
      <c r="O273">
        <v>2016</v>
      </c>
      <c r="P273" t="s">
        <v>489</v>
      </c>
      <c r="Q273">
        <v>1</v>
      </c>
    </row>
    <row r="274" spans="1:17" ht="17.45" customHeight="1">
      <c r="A274" s="24" t="s">
        <v>166</v>
      </c>
      <c r="B274" t="s">
        <v>240</v>
      </c>
      <c r="C274" t="s">
        <v>493</v>
      </c>
      <c r="D274">
        <v>1254</v>
      </c>
      <c r="E274">
        <v>333</v>
      </c>
      <c r="F274">
        <f t="shared" si="12"/>
        <v>0.26555023923444976</v>
      </c>
      <c r="G274">
        <v>25.98</v>
      </c>
      <c r="H274" t="s">
        <v>478</v>
      </c>
      <c r="I274" s="11" t="s">
        <v>249</v>
      </c>
      <c r="J274" s="11" t="s">
        <v>249</v>
      </c>
      <c r="K274" s="11" t="s">
        <v>249</v>
      </c>
      <c r="L274" s="11" t="s">
        <v>249</v>
      </c>
      <c r="M274" s="3" t="s">
        <v>48</v>
      </c>
      <c r="N274">
        <v>2018</v>
      </c>
      <c r="O274">
        <v>2018</v>
      </c>
      <c r="P274" t="s">
        <v>494</v>
      </c>
      <c r="Q274">
        <v>1</v>
      </c>
    </row>
    <row r="275" spans="1:17" ht="17.45" customHeight="1">
      <c r="A275" s="24" t="s">
        <v>166</v>
      </c>
      <c r="B275" t="s">
        <v>240</v>
      </c>
      <c r="C275" t="s">
        <v>495</v>
      </c>
      <c r="D275">
        <v>4673</v>
      </c>
      <c r="E275">
        <v>2336</v>
      </c>
      <c r="F275">
        <f t="shared" si="12"/>
        <v>0.49989300235394823</v>
      </c>
      <c r="G275">
        <v>81.7</v>
      </c>
      <c r="H275" t="s">
        <v>478</v>
      </c>
      <c r="I275" s="11" t="s">
        <v>249</v>
      </c>
      <c r="J275" s="11" t="s">
        <v>249</v>
      </c>
      <c r="K275" s="11" t="s">
        <v>249</v>
      </c>
      <c r="L275" s="11" t="s">
        <v>249</v>
      </c>
      <c r="M275" s="3" t="s">
        <v>48</v>
      </c>
      <c r="N275">
        <v>2018</v>
      </c>
      <c r="O275">
        <v>2018</v>
      </c>
      <c r="P275" t="s">
        <v>494</v>
      </c>
      <c r="Q275">
        <v>1</v>
      </c>
    </row>
    <row r="276" spans="1:17" ht="17.45" customHeight="1">
      <c r="A276" s="24" t="s">
        <v>166</v>
      </c>
      <c r="B276" t="s">
        <v>240</v>
      </c>
      <c r="C276" t="s">
        <v>496</v>
      </c>
      <c r="D276">
        <v>5858</v>
      </c>
      <c r="E276">
        <v>11869</v>
      </c>
      <c r="F276">
        <f t="shared" si="12"/>
        <v>2.0261181290542849</v>
      </c>
      <c r="G276">
        <v>39.450000000000003</v>
      </c>
      <c r="H276" t="s">
        <v>478</v>
      </c>
      <c r="I276" s="11" t="s">
        <v>249</v>
      </c>
      <c r="J276" s="11" t="s">
        <v>249</v>
      </c>
      <c r="K276" s="11" t="s">
        <v>249</v>
      </c>
      <c r="L276" s="11" t="s">
        <v>249</v>
      </c>
      <c r="M276" s="3" t="s">
        <v>48</v>
      </c>
      <c r="N276">
        <v>2018</v>
      </c>
      <c r="O276">
        <v>2018</v>
      </c>
      <c r="P276" t="s">
        <v>494</v>
      </c>
      <c r="Q276">
        <v>1</v>
      </c>
    </row>
    <row r="277" spans="1:17" ht="17.45" customHeight="1">
      <c r="A277" s="24" t="s">
        <v>166</v>
      </c>
      <c r="B277" t="s">
        <v>240</v>
      </c>
      <c r="C277" t="s">
        <v>497</v>
      </c>
      <c r="D277">
        <v>3284</v>
      </c>
      <c r="E277">
        <v>2557</v>
      </c>
      <c r="F277">
        <f t="shared" si="12"/>
        <v>0.77862362971985388</v>
      </c>
      <c r="G277">
        <v>64.760000000000005</v>
      </c>
      <c r="H277" t="s">
        <v>478</v>
      </c>
      <c r="I277" s="11" t="s">
        <v>249</v>
      </c>
      <c r="J277" s="11" t="s">
        <v>249</v>
      </c>
      <c r="K277" s="11" t="s">
        <v>249</v>
      </c>
      <c r="L277" s="11" t="s">
        <v>249</v>
      </c>
      <c r="M277" s="3" t="s">
        <v>48</v>
      </c>
      <c r="N277">
        <v>2018</v>
      </c>
      <c r="O277">
        <v>2018</v>
      </c>
      <c r="P277" t="s">
        <v>494</v>
      </c>
      <c r="Q277">
        <v>1</v>
      </c>
    </row>
    <row r="278" spans="1:17" ht="17.45" customHeight="1">
      <c r="A278" s="24" t="s">
        <v>166</v>
      </c>
      <c r="B278" t="s">
        <v>240</v>
      </c>
      <c r="C278" t="s">
        <v>498</v>
      </c>
      <c r="D278">
        <v>4791</v>
      </c>
      <c r="E278">
        <v>171</v>
      </c>
      <c r="F278">
        <f t="shared" si="12"/>
        <v>3.5691922354414526E-2</v>
      </c>
      <c r="G278">
        <v>84.93</v>
      </c>
      <c r="H278" t="s">
        <v>478</v>
      </c>
      <c r="I278" s="11" t="s">
        <v>249</v>
      </c>
      <c r="J278" s="11" t="s">
        <v>249</v>
      </c>
      <c r="K278" s="11" t="s">
        <v>249</v>
      </c>
      <c r="L278" s="11" t="s">
        <v>249</v>
      </c>
      <c r="M278" s="3" t="s">
        <v>48</v>
      </c>
      <c r="N278">
        <v>2018</v>
      </c>
      <c r="O278">
        <v>2018</v>
      </c>
      <c r="P278" t="s">
        <v>494</v>
      </c>
      <c r="Q278">
        <v>1</v>
      </c>
    </row>
    <row r="279" spans="1:17" ht="17.45" customHeight="1">
      <c r="A279" s="24" t="s">
        <v>166</v>
      </c>
      <c r="B279" t="s">
        <v>240</v>
      </c>
      <c r="C279" t="s">
        <v>244</v>
      </c>
      <c r="D279">
        <f>SUM(D273:D278)</f>
        <v>20015</v>
      </c>
      <c r="E279">
        <v>19232</v>
      </c>
      <c r="F279">
        <f t="shared" si="12"/>
        <v>0.96087934049462898</v>
      </c>
      <c r="G279">
        <v>27.84</v>
      </c>
      <c r="H279" t="s">
        <v>478</v>
      </c>
      <c r="I279" s="11">
        <v>11257</v>
      </c>
      <c r="J279" s="11">
        <v>32856</v>
      </c>
      <c r="K279" s="12">
        <f>I279/D279</f>
        <v>0.56242817886585061</v>
      </c>
      <c r="L279" s="12">
        <f>J279/D279</f>
        <v>1.6415688233824632</v>
      </c>
      <c r="M279" s="3" t="s">
        <v>48</v>
      </c>
      <c r="N279">
        <v>2018</v>
      </c>
      <c r="O279">
        <v>2018</v>
      </c>
      <c r="P279" t="s">
        <v>494</v>
      </c>
      <c r="Q279">
        <v>1</v>
      </c>
    </row>
    <row r="280" spans="1:17" ht="17.45" customHeight="1">
      <c r="A280" s="24" t="s">
        <v>166</v>
      </c>
      <c r="B280" t="s">
        <v>240</v>
      </c>
      <c r="C280" t="s">
        <v>499</v>
      </c>
      <c r="D280">
        <v>2869</v>
      </c>
      <c r="E280">
        <v>1967</v>
      </c>
      <c r="F280">
        <f t="shared" si="12"/>
        <v>0.68560474032764029</v>
      </c>
      <c r="G280">
        <v>29.31</v>
      </c>
      <c r="H280" t="s">
        <v>478</v>
      </c>
      <c r="I280" s="11" t="s">
        <v>249</v>
      </c>
      <c r="J280" s="11" t="s">
        <v>249</v>
      </c>
      <c r="K280" s="11" t="s">
        <v>249</v>
      </c>
      <c r="L280" s="11" t="s">
        <v>249</v>
      </c>
      <c r="M280" s="3" t="s">
        <v>48</v>
      </c>
      <c r="N280">
        <v>2018</v>
      </c>
      <c r="O280">
        <v>2018</v>
      </c>
      <c r="P280" t="s">
        <v>494</v>
      </c>
      <c r="Q280">
        <v>1</v>
      </c>
    </row>
    <row r="281" spans="1:17" ht="17.45" customHeight="1">
      <c r="A281" s="24" t="s">
        <v>168</v>
      </c>
      <c r="B281" t="s">
        <v>294</v>
      </c>
      <c r="C281" t="s">
        <v>500</v>
      </c>
      <c r="D281">
        <f>2442+554+9486</f>
        <v>12482</v>
      </c>
      <c r="E281">
        <v>1448</v>
      </c>
      <c r="F281">
        <f t="shared" si="12"/>
        <v>0.1160070501522192</v>
      </c>
      <c r="G281">
        <v>51</v>
      </c>
      <c r="H281" t="s">
        <v>478</v>
      </c>
      <c r="I281" s="11" t="s">
        <v>249</v>
      </c>
      <c r="J281" s="11" t="s">
        <v>249</v>
      </c>
      <c r="K281" s="11" t="s">
        <v>249</v>
      </c>
      <c r="L281" s="11" t="s">
        <v>249</v>
      </c>
      <c r="M281" s="3" t="s">
        <v>48</v>
      </c>
      <c r="N281">
        <v>2017</v>
      </c>
      <c r="O281">
        <v>2017</v>
      </c>
      <c r="P281" t="s">
        <v>501</v>
      </c>
      <c r="Q281">
        <v>1</v>
      </c>
    </row>
    <row r="282" spans="1:17" ht="17.45" customHeight="1">
      <c r="A282" s="24" t="s">
        <v>168</v>
      </c>
      <c r="B282" t="s">
        <v>294</v>
      </c>
      <c r="C282" t="s">
        <v>502</v>
      </c>
      <c r="D282">
        <f>2442+554+4107</f>
        <v>7103</v>
      </c>
      <c r="E282">
        <v>203</v>
      </c>
      <c r="F282">
        <f t="shared" si="12"/>
        <v>2.8579473461917498E-2</v>
      </c>
      <c r="G282">
        <v>51.47</v>
      </c>
      <c r="H282" t="s">
        <v>478</v>
      </c>
      <c r="I282" s="11" t="s">
        <v>249</v>
      </c>
      <c r="J282" s="11" t="s">
        <v>249</v>
      </c>
      <c r="K282" s="11" t="s">
        <v>249</v>
      </c>
      <c r="L282" s="11" t="s">
        <v>249</v>
      </c>
      <c r="M282" s="3" t="s">
        <v>48</v>
      </c>
      <c r="N282">
        <v>2017</v>
      </c>
      <c r="O282">
        <v>2017</v>
      </c>
      <c r="P282" t="s">
        <v>501</v>
      </c>
      <c r="Q282">
        <v>1</v>
      </c>
    </row>
    <row r="283" spans="1:17" ht="17.45" customHeight="1">
      <c r="A283" s="24" t="s">
        <v>171</v>
      </c>
      <c r="B283" t="s">
        <v>503</v>
      </c>
      <c r="C283" t="s">
        <v>504</v>
      </c>
      <c r="D283">
        <v>15962</v>
      </c>
      <c r="E283">
        <v>6004</v>
      </c>
      <c r="F283">
        <v>0.376</v>
      </c>
      <c r="G283">
        <v>0.22900000000000001</v>
      </c>
      <c r="H283" t="s">
        <v>232</v>
      </c>
      <c r="I283">
        <v>3249</v>
      </c>
      <c r="J283">
        <v>11096</v>
      </c>
      <c r="K283" s="12">
        <f t="shared" ref="K283:K291" si="15">I283/D283</f>
        <v>0.20354592156371382</v>
      </c>
      <c r="L283" s="12">
        <f t="shared" ref="L283:L291" si="16">J283/D283</f>
        <v>0.69515098358601679</v>
      </c>
      <c r="M283" t="s">
        <v>505</v>
      </c>
      <c r="N283">
        <v>2005</v>
      </c>
      <c r="O283">
        <v>2005</v>
      </c>
      <c r="P283" t="s">
        <v>506</v>
      </c>
      <c r="Q283">
        <v>1</v>
      </c>
    </row>
    <row r="284" spans="1:17" ht="17.45" customHeight="1">
      <c r="A284" s="24" t="s">
        <v>171</v>
      </c>
      <c r="B284" t="s">
        <v>503</v>
      </c>
      <c r="C284" t="s">
        <v>507</v>
      </c>
      <c r="D284">
        <v>6584</v>
      </c>
      <c r="E284">
        <v>169</v>
      </c>
      <c r="F284">
        <v>2.5999999999999999E-2</v>
      </c>
      <c r="G284">
        <v>0.78900000000000003</v>
      </c>
      <c r="H284" t="s">
        <v>232</v>
      </c>
      <c r="I284">
        <v>37</v>
      </c>
      <c r="J284">
        <v>769</v>
      </c>
      <c r="K284" s="12">
        <f t="shared" si="15"/>
        <v>5.6196840826245441E-3</v>
      </c>
      <c r="L284" s="12">
        <f t="shared" si="16"/>
        <v>0.11679829890643985</v>
      </c>
      <c r="M284" t="s">
        <v>505</v>
      </c>
      <c r="N284">
        <v>2005</v>
      </c>
      <c r="O284">
        <v>2005</v>
      </c>
      <c r="P284" t="s">
        <v>506</v>
      </c>
      <c r="Q284">
        <v>1</v>
      </c>
    </row>
    <row r="285" spans="1:17" ht="17.45" customHeight="1">
      <c r="A285" s="24" t="s">
        <v>171</v>
      </c>
      <c r="B285" t="s">
        <v>503</v>
      </c>
      <c r="C285" t="s">
        <v>508</v>
      </c>
      <c r="D285">
        <v>15962</v>
      </c>
      <c r="E285">
        <v>3170</v>
      </c>
      <c r="F285">
        <v>0.19900000000000001</v>
      </c>
      <c r="G285">
        <v>0.27900000000000003</v>
      </c>
      <c r="H285" t="s">
        <v>232</v>
      </c>
      <c r="I285">
        <v>1825</v>
      </c>
      <c r="J285">
        <v>5508</v>
      </c>
      <c r="K285" s="12">
        <f t="shared" si="15"/>
        <v>0.11433404335296329</v>
      </c>
      <c r="L285" s="12">
        <f t="shared" si="16"/>
        <v>0.34506954015787494</v>
      </c>
      <c r="M285" t="s">
        <v>505</v>
      </c>
      <c r="N285">
        <v>2006</v>
      </c>
      <c r="O285">
        <v>2006</v>
      </c>
      <c r="P285" t="s">
        <v>509</v>
      </c>
      <c r="Q285">
        <v>1</v>
      </c>
    </row>
    <row r="286" spans="1:17" ht="17.45" customHeight="1">
      <c r="A286" s="24" t="s">
        <v>171</v>
      </c>
      <c r="B286" t="s">
        <v>503</v>
      </c>
      <c r="C286" t="s">
        <v>510</v>
      </c>
      <c r="D286">
        <v>6584</v>
      </c>
      <c r="E286">
        <v>281</v>
      </c>
      <c r="F286">
        <v>4.2999999999999997E-2</v>
      </c>
      <c r="G286">
        <v>0.85099999999999998</v>
      </c>
      <c r="H286" t="s">
        <v>232</v>
      </c>
      <c r="I286">
        <v>51</v>
      </c>
      <c r="J286">
        <v>1541</v>
      </c>
      <c r="K286" s="12">
        <f t="shared" si="15"/>
        <v>7.7460510328068045E-3</v>
      </c>
      <c r="L286" s="12">
        <f t="shared" si="16"/>
        <v>0.23405224787363305</v>
      </c>
      <c r="M286" t="s">
        <v>505</v>
      </c>
      <c r="N286">
        <v>2006</v>
      </c>
      <c r="O286">
        <v>2006</v>
      </c>
      <c r="P286" t="s">
        <v>509</v>
      </c>
      <c r="Q286">
        <v>1</v>
      </c>
    </row>
    <row r="287" spans="1:17" ht="17.45" customHeight="1">
      <c r="A287" s="24" t="s">
        <v>171</v>
      </c>
      <c r="B287" t="s">
        <v>503</v>
      </c>
      <c r="C287" t="s">
        <v>511</v>
      </c>
      <c r="D287">
        <v>15962</v>
      </c>
      <c r="E287">
        <v>915</v>
      </c>
      <c r="F287">
        <v>5.7000000000000002E-2</v>
      </c>
      <c r="G287">
        <v>0.65800000000000003</v>
      </c>
      <c r="H287" t="s">
        <v>232</v>
      </c>
      <c r="I287">
        <v>244</v>
      </c>
      <c r="J287">
        <v>3422</v>
      </c>
      <c r="K287" s="12">
        <f t="shared" si="15"/>
        <v>1.5286304974313996E-2</v>
      </c>
      <c r="L287" s="12">
        <f t="shared" si="16"/>
        <v>0.21438416238566596</v>
      </c>
      <c r="M287" t="s">
        <v>505</v>
      </c>
      <c r="N287">
        <v>2008</v>
      </c>
      <c r="O287">
        <v>2008</v>
      </c>
      <c r="P287" t="s">
        <v>512</v>
      </c>
      <c r="Q287">
        <v>1</v>
      </c>
    </row>
    <row r="288" spans="1:17" ht="17.45" customHeight="1">
      <c r="A288" s="24" t="s">
        <v>171</v>
      </c>
      <c r="B288" t="s">
        <v>503</v>
      </c>
      <c r="C288" t="s">
        <v>513</v>
      </c>
      <c r="D288">
        <v>6584</v>
      </c>
      <c r="E288">
        <v>306</v>
      </c>
      <c r="F288">
        <v>4.5999999999999999E-2</v>
      </c>
      <c r="G288">
        <v>0.44</v>
      </c>
      <c r="H288" t="s">
        <v>232</v>
      </c>
      <c r="I288">
        <v>118</v>
      </c>
      <c r="J288">
        <v>791</v>
      </c>
      <c r="K288" s="12">
        <f t="shared" si="15"/>
        <v>1.7922235722964763E-2</v>
      </c>
      <c r="L288" s="12">
        <f t="shared" si="16"/>
        <v>0.12013973268529769</v>
      </c>
      <c r="M288" t="s">
        <v>505</v>
      </c>
      <c r="N288">
        <v>2008</v>
      </c>
      <c r="O288">
        <v>2008</v>
      </c>
      <c r="P288" t="s">
        <v>512</v>
      </c>
      <c r="Q288">
        <v>1</v>
      </c>
    </row>
    <row r="289" spans="1:17" ht="17.45" customHeight="1">
      <c r="A289" s="24" t="s">
        <v>171</v>
      </c>
      <c r="B289" t="s">
        <v>503</v>
      </c>
      <c r="C289" t="s">
        <v>514</v>
      </c>
      <c r="D289">
        <v>15962</v>
      </c>
      <c r="E289">
        <v>1413</v>
      </c>
      <c r="F289">
        <v>8.8999999999999996E-2</v>
      </c>
      <c r="G289">
        <v>0.48199999999999998</v>
      </c>
      <c r="H289" t="s">
        <v>232</v>
      </c>
      <c r="I289">
        <v>544</v>
      </c>
      <c r="J289">
        <v>3668</v>
      </c>
      <c r="K289" s="12">
        <f t="shared" si="15"/>
        <v>3.4080942237814812E-2</v>
      </c>
      <c r="L289" s="12">
        <f t="shared" si="16"/>
        <v>0.22979576494173662</v>
      </c>
      <c r="M289" t="s">
        <v>505</v>
      </c>
      <c r="N289">
        <v>2009</v>
      </c>
      <c r="O289">
        <v>2009</v>
      </c>
      <c r="P289" t="s">
        <v>515</v>
      </c>
      <c r="Q289">
        <v>1</v>
      </c>
    </row>
    <row r="290" spans="1:17" ht="17.45" customHeight="1">
      <c r="A290" s="24" t="s">
        <v>171</v>
      </c>
      <c r="B290" t="s">
        <v>503</v>
      </c>
      <c r="C290" t="s">
        <v>516</v>
      </c>
      <c r="D290">
        <v>6584</v>
      </c>
      <c r="E290">
        <v>545</v>
      </c>
      <c r="F290">
        <v>8.3000000000000004E-2</v>
      </c>
      <c r="G290">
        <v>0.78800000000000003</v>
      </c>
      <c r="H290" t="s">
        <v>232</v>
      </c>
      <c r="I290">
        <v>117</v>
      </c>
      <c r="J290">
        <v>2538</v>
      </c>
      <c r="K290" s="12">
        <f t="shared" si="15"/>
        <v>1.7770352369380314E-2</v>
      </c>
      <c r="L290" s="12">
        <f t="shared" si="16"/>
        <v>0.38547995139732683</v>
      </c>
      <c r="M290" t="s">
        <v>505</v>
      </c>
      <c r="N290">
        <v>2009</v>
      </c>
      <c r="O290">
        <v>2009</v>
      </c>
      <c r="P290" t="s">
        <v>515</v>
      </c>
      <c r="Q290">
        <v>1</v>
      </c>
    </row>
    <row r="291" spans="1:17" ht="17.45" customHeight="1">
      <c r="A291" s="24" t="s">
        <v>171</v>
      </c>
      <c r="B291" t="s">
        <v>503</v>
      </c>
      <c r="C291" t="s">
        <v>517</v>
      </c>
      <c r="D291">
        <v>7385</v>
      </c>
      <c r="E291">
        <v>592</v>
      </c>
      <c r="F291">
        <v>0.08</v>
      </c>
      <c r="G291">
        <v>0.55200000000000005</v>
      </c>
      <c r="H291" t="s">
        <v>232</v>
      </c>
      <c r="I291">
        <v>204</v>
      </c>
      <c r="J291">
        <v>1719</v>
      </c>
      <c r="K291" s="12">
        <f t="shared" si="15"/>
        <v>2.7623561272850372E-2</v>
      </c>
      <c r="L291" s="12">
        <f t="shared" si="16"/>
        <v>0.23276912660798918</v>
      </c>
      <c r="M291" t="s">
        <v>505</v>
      </c>
      <c r="N291">
        <v>2009</v>
      </c>
      <c r="O291">
        <v>2009</v>
      </c>
      <c r="P291" t="s">
        <v>515</v>
      </c>
      <c r="Q291">
        <v>1</v>
      </c>
    </row>
    <row r="292" spans="1:17" ht="17.45" customHeight="1">
      <c r="A292" s="24" t="s">
        <v>171</v>
      </c>
      <c r="B292" t="s">
        <v>503</v>
      </c>
      <c r="C292" t="s">
        <v>518</v>
      </c>
      <c r="D292">
        <v>29931</v>
      </c>
      <c r="E292">
        <v>2549</v>
      </c>
      <c r="F292">
        <f>E292/D292</f>
        <v>8.5162540509839291E-2</v>
      </c>
      <c r="G292">
        <v>0.34100000000000003</v>
      </c>
      <c r="H292" t="s">
        <v>232</v>
      </c>
      <c r="I292" t="s">
        <v>249</v>
      </c>
      <c r="J292" t="s">
        <v>249</v>
      </c>
      <c r="K292" t="s">
        <v>249</v>
      </c>
      <c r="L292" t="s">
        <v>249</v>
      </c>
      <c r="M292" t="s">
        <v>505</v>
      </c>
      <c r="N292">
        <v>2009</v>
      </c>
      <c r="O292">
        <v>2009</v>
      </c>
      <c r="P292" t="s">
        <v>515</v>
      </c>
      <c r="Q292">
        <v>1</v>
      </c>
    </row>
    <row r="293" spans="1:17" ht="17.45" customHeight="1">
      <c r="A293" s="24" t="s">
        <v>171</v>
      </c>
      <c r="B293" t="s">
        <v>503</v>
      </c>
      <c r="C293" t="s">
        <v>519</v>
      </c>
      <c r="D293">
        <v>15962</v>
      </c>
      <c r="E293">
        <v>2760</v>
      </c>
      <c r="F293">
        <v>0.17299999999999999</v>
      </c>
      <c r="G293">
        <v>0.28899999999999998</v>
      </c>
      <c r="H293" t="s">
        <v>232</v>
      </c>
      <c r="I293">
        <v>1501</v>
      </c>
      <c r="J293">
        <v>5075</v>
      </c>
      <c r="K293" s="12">
        <f>I293/D293</f>
        <v>9.4035835108382412E-2</v>
      </c>
      <c r="L293" s="12">
        <f>J293/D293</f>
        <v>0.31794261370755544</v>
      </c>
      <c r="M293" t="s">
        <v>505</v>
      </c>
      <c r="N293">
        <v>2010</v>
      </c>
      <c r="O293">
        <v>2010</v>
      </c>
      <c r="P293" t="s">
        <v>520</v>
      </c>
      <c r="Q293">
        <v>1</v>
      </c>
    </row>
    <row r="294" spans="1:17" ht="17.45" customHeight="1">
      <c r="A294" s="24" t="s">
        <v>171</v>
      </c>
      <c r="B294" t="s">
        <v>503</v>
      </c>
      <c r="C294" t="s">
        <v>521</v>
      </c>
      <c r="D294">
        <v>6584</v>
      </c>
      <c r="E294">
        <v>632</v>
      </c>
      <c r="F294">
        <v>9.6000000000000002E-2</v>
      </c>
      <c r="G294">
        <v>0.47399999999999998</v>
      </c>
      <c r="H294" t="s">
        <v>232</v>
      </c>
      <c r="I294">
        <v>229</v>
      </c>
      <c r="J294">
        <v>1745</v>
      </c>
      <c r="K294" s="12">
        <f>I294/D294</f>
        <v>3.4781287970838397E-2</v>
      </c>
      <c r="L294" s="12">
        <f>J294/D294</f>
        <v>0.26503645200486026</v>
      </c>
      <c r="M294" t="s">
        <v>505</v>
      </c>
      <c r="N294">
        <v>2010</v>
      </c>
      <c r="O294">
        <v>2010</v>
      </c>
      <c r="P294" t="s">
        <v>520</v>
      </c>
      <c r="Q294">
        <v>1</v>
      </c>
    </row>
    <row r="295" spans="1:17" ht="17.45" customHeight="1">
      <c r="A295" s="24" t="s">
        <v>171</v>
      </c>
      <c r="B295" t="s">
        <v>503</v>
      </c>
      <c r="C295" t="s">
        <v>522</v>
      </c>
      <c r="D295">
        <v>7385</v>
      </c>
      <c r="E295">
        <v>954</v>
      </c>
      <c r="F295">
        <v>0.129</v>
      </c>
      <c r="G295">
        <v>0.38800000000000001</v>
      </c>
      <c r="H295" t="s">
        <v>232</v>
      </c>
      <c r="I295">
        <v>432</v>
      </c>
      <c r="J295">
        <v>2107</v>
      </c>
      <c r="K295" s="12">
        <f>I295/D295</f>
        <v>5.8496953283683144E-2</v>
      </c>
      <c r="L295" s="12">
        <f>J295/D295</f>
        <v>0.28530805687203792</v>
      </c>
      <c r="M295" t="s">
        <v>505</v>
      </c>
      <c r="N295">
        <v>2010</v>
      </c>
      <c r="O295">
        <v>2010</v>
      </c>
      <c r="P295" t="s">
        <v>520</v>
      </c>
      <c r="Q295">
        <v>1</v>
      </c>
    </row>
    <row r="296" spans="1:17" ht="17.45" customHeight="1">
      <c r="A296" s="24" t="s">
        <v>171</v>
      </c>
      <c r="B296" t="s">
        <v>503</v>
      </c>
      <c r="C296" t="s">
        <v>523</v>
      </c>
      <c r="D296">
        <v>29931</v>
      </c>
      <c r="E296">
        <v>4346</v>
      </c>
      <c r="F296">
        <f>E296/D296</f>
        <v>0.1452006281113227</v>
      </c>
      <c r="G296">
        <v>0.214</v>
      </c>
      <c r="H296" t="s">
        <v>232</v>
      </c>
      <c r="I296" t="s">
        <v>249</v>
      </c>
      <c r="J296" t="s">
        <v>249</v>
      </c>
      <c r="K296" t="s">
        <v>249</v>
      </c>
      <c r="L296" t="s">
        <v>249</v>
      </c>
      <c r="M296" t="s">
        <v>505</v>
      </c>
      <c r="N296">
        <v>2010</v>
      </c>
      <c r="O296">
        <v>2010</v>
      </c>
      <c r="P296" t="s">
        <v>520</v>
      </c>
      <c r="Q296">
        <v>1</v>
      </c>
    </row>
    <row r="297" spans="1:17" ht="17.45" customHeight="1">
      <c r="A297" s="24" t="s">
        <v>171</v>
      </c>
      <c r="B297" t="s">
        <v>503</v>
      </c>
      <c r="C297" t="s">
        <v>524</v>
      </c>
      <c r="D297">
        <v>15962</v>
      </c>
      <c r="E297">
        <v>991</v>
      </c>
      <c r="F297">
        <v>6.2E-2</v>
      </c>
      <c r="G297">
        <v>0.73699999999999999</v>
      </c>
      <c r="H297" t="s">
        <v>232</v>
      </c>
      <c r="I297">
        <v>236</v>
      </c>
      <c r="J297">
        <v>4163</v>
      </c>
      <c r="K297" s="12">
        <f>I297/D297</f>
        <v>1.4785114647287307E-2</v>
      </c>
      <c r="L297" s="12">
        <f>J297/D297</f>
        <v>0.26080691642651299</v>
      </c>
      <c r="M297" t="s">
        <v>505</v>
      </c>
      <c r="N297">
        <v>2011</v>
      </c>
      <c r="O297">
        <v>2011</v>
      </c>
      <c r="P297" t="s">
        <v>525</v>
      </c>
      <c r="Q297">
        <v>1</v>
      </c>
    </row>
    <row r="298" spans="1:17" ht="17.45" customHeight="1">
      <c r="A298" s="24" t="s">
        <v>171</v>
      </c>
      <c r="B298" t="s">
        <v>503</v>
      </c>
      <c r="C298" t="s">
        <v>526</v>
      </c>
      <c r="D298">
        <v>6584</v>
      </c>
      <c r="E298">
        <v>70</v>
      </c>
      <c r="F298">
        <v>1.0999999999999999E-2</v>
      </c>
      <c r="G298">
        <v>1.04</v>
      </c>
      <c r="H298" t="s">
        <v>232</v>
      </c>
      <c r="I298">
        <v>10</v>
      </c>
      <c r="J298">
        <v>485</v>
      </c>
      <c r="K298" s="12">
        <f>I298/D298</f>
        <v>1.5188335358444715E-3</v>
      </c>
      <c r="L298" s="12">
        <f>J298/D298</f>
        <v>7.3663426488456862E-2</v>
      </c>
      <c r="M298" t="s">
        <v>505</v>
      </c>
      <c r="N298">
        <v>2011</v>
      </c>
      <c r="O298">
        <v>2011</v>
      </c>
      <c r="P298" t="s">
        <v>525</v>
      </c>
      <c r="Q298">
        <v>1</v>
      </c>
    </row>
    <row r="299" spans="1:17" ht="17.45" customHeight="1">
      <c r="A299" s="24" t="s">
        <v>171</v>
      </c>
      <c r="B299" t="s">
        <v>503</v>
      </c>
      <c r="C299" t="s">
        <v>527</v>
      </c>
      <c r="D299">
        <v>7385</v>
      </c>
      <c r="E299">
        <v>714</v>
      </c>
      <c r="F299">
        <v>9.7000000000000003E-2</v>
      </c>
      <c r="G299">
        <v>0.47299999999999998</v>
      </c>
      <c r="H299" t="s">
        <v>232</v>
      </c>
      <c r="I299">
        <v>271</v>
      </c>
      <c r="J299">
        <v>1880</v>
      </c>
      <c r="K299" s="12">
        <f>I299/D299</f>
        <v>3.6696005416384563E-2</v>
      </c>
      <c r="L299" s="12">
        <f>J299/D299</f>
        <v>0.25457007447528773</v>
      </c>
      <c r="M299" t="s">
        <v>505</v>
      </c>
      <c r="N299">
        <v>2011</v>
      </c>
      <c r="O299">
        <v>2011</v>
      </c>
      <c r="P299" t="s">
        <v>525</v>
      </c>
      <c r="Q299">
        <v>1</v>
      </c>
    </row>
    <row r="300" spans="1:17" ht="17.45" customHeight="1">
      <c r="A300" s="24" t="s">
        <v>171</v>
      </c>
      <c r="B300" t="s">
        <v>503</v>
      </c>
      <c r="C300" t="s">
        <v>528</v>
      </c>
      <c r="D300">
        <v>29931</v>
      </c>
      <c r="E300">
        <v>1775</v>
      </c>
      <c r="F300">
        <f>E300/D300</f>
        <v>5.9303063713207045E-2</v>
      </c>
      <c r="G300">
        <v>0.45500000000000002</v>
      </c>
      <c r="H300" t="s">
        <v>232</v>
      </c>
      <c r="I300" t="s">
        <v>249</v>
      </c>
      <c r="J300" t="s">
        <v>249</v>
      </c>
      <c r="K300" t="s">
        <v>249</v>
      </c>
      <c r="L300" t="s">
        <v>249</v>
      </c>
      <c r="M300" t="s">
        <v>505</v>
      </c>
      <c r="N300">
        <v>2011</v>
      </c>
      <c r="O300">
        <v>2011</v>
      </c>
      <c r="P300" t="s">
        <v>525</v>
      </c>
      <c r="Q300">
        <v>1</v>
      </c>
    </row>
    <row r="301" spans="1:17" ht="17.45" customHeight="1">
      <c r="A301" s="24" t="s">
        <v>171</v>
      </c>
      <c r="B301" t="s">
        <v>503</v>
      </c>
      <c r="C301" t="s">
        <v>529</v>
      </c>
      <c r="D301">
        <v>15962</v>
      </c>
      <c r="E301">
        <v>2844</v>
      </c>
      <c r="F301">
        <v>0.17799999999999999</v>
      </c>
      <c r="G301">
        <v>0.33600000000000002</v>
      </c>
      <c r="H301" t="s">
        <v>232</v>
      </c>
      <c r="I301">
        <v>1404</v>
      </c>
      <c r="J301">
        <v>5757</v>
      </c>
      <c r="K301" s="12">
        <f>I301/D301</f>
        <v>8.795890239318381E-2</v>
      </c>
      <c r="L301" s="12">
        <f>J301/D301</f>
        <v>0.36066908908658063</v>
      </c>
      <c r="M301" t="s">
        <v>505</v>
      </c>
      <c r="N301">
        <v>2012</v>
      </c>
      <c r="O301">
        <v>2012</v>
      </c>
      <c r="P301" t="s">
        <v>530</v>
      </c>
      <c r="Q301">
        <v>1</v>
      </c>
    </row>
    <row r="302" spans="1:17" ht="17.45" customHeight="1">
      <c r="A302" s="24" t="s">
        <v>171</v>
      </c>
      <c r="B302" t="s">
        <v>503</v>
      </c>
      <c r="C302" t="s">
        <v>531</v>
      </c>
      <c r="D302">
        <v>6584</v>
      </c>
      <c r="E302">
        <v>1012</v>
      </c>
      <c r="F302">
        <v>0.154</v>
      </c>
      <c r="G302">
        <v>0.371</v>
      </c>
      <c r="H302" t="s">
        <v>232</v>
      </c>
      <c r="I302">
        <v>450</v>
      </c>
      <c r="J302">
        <v>2274</v>
      </c>
      <c r="K302" s="12">
        <f>I302/D302</f>
        <v>6.834750911300122E-2</v>
      </c>
      <c r="L302" s="12">
        <f>J302/D302</f>
        <v>0.34538274605103281</v>
      </c>
      <c r="M302" t="s">
        <v>505</v>
      </c>
      <c r="N302">
        <v>2012</v>
      </c>
      <c r="O302">
        <v>2012</v>
      </c>
      <c r="P302" t="s">
        <v>530</v>
      </c>
      <c r="Q302">
        <v>1</v>
      </c>
    </row>
    <row r="303" spans="1:17" ht="17.45" customHeight="1">
      <c r="A303" s="24" t="s">
        <v>171</v>
      </c>
      <c r="B303" t="s">
        <v>503</v>
      </c>
      <c r="C303" t="s">
        <v>532</v>
      </c>
      <c r="D303">
        <v>7385</v>
      </c>
      <c r="E303">
        <v>573</v>
      </c>
      <c r="F303">
        <v>7.8E-2</v>
      </c>
      <c r="G303">
        <v>0.441</v>
      </c>
      <c r="H303" t="s">
        <v>232</v>
      </c>
      <c r="I303">
        <v>231</v>
      </c>
      <c r="J303">
        <v>1422</v>
      </c>
      <c r="K303" s="12">
        <f>I303/D303</f>
        <v>3.1279620853080566E-2</v>
      </c>
      <c r="L303" s="12">
        <f>J303/D303</f>
        <v>0.19255247122545702</v>
      </c>
      <c r="M303" t="s">
        <v>505</v>
      </c>
      <c r="N303">
        <v>2012</v>
      </c>
      <c r="O303">
        <v>2012</v>
      </c>
      <c r="P303" t="s">
        <v>530</v>
      </c>
      <c r="Q303">
        <v>1</v>
      </c>
    </row>
    <row r="304" spans="1:17" ht="17.45" customHeight="1">
      <c r="A304" s="24" t="s">
        <v>171</v>
      </c>
      <c r="B304" t="s">
        <v>503</v>
      </c>
      <c r="C304" t="s">
        <v>533</v>
      </c>
      <c r="D304">
        <v>29931</v>
      </c>
      <c r="E304">
        <v>4428</v>
      </c>
      <c r="F304">
        <f>E304/D304</f>
        <v>0.14794026260398918</v>
      </c>
      <c r="G304">
        <v>0.23899999999999999</v>
      </c>
      <c r="H304" t="s">
        <v>232</v>
      </c>
      <c r="I304" t="s">
        <v>249</v>
      </c>
      <c r="J304" t="s">
        <v>249</v>
      </c>
      <c r="K304" t="s">
        <v>249</v>
      </c>
      <c r="L304" t="s">
        <v>249</v>
      </c>
      <c r="M304" t="s">
        <v>505</v>
      </c>
      <c r="N304">
        <v>2012</v>
      </c>
      <c r="O304">
        <v>2012</v>
      </c>
      <c r="P304" t="s">
        <v>530</v>
      </c>
      <c r="Q304">
        <v>1</v>
      </c>
    </row>
    <row r="305" spans="1:17" ht="17.45" customHeight="1">
      <c r="A305" s="24" t="s">
        <v>171</v>
      </c>
      <c r="B305" t="s">
        <v>503</v>
      </c>
      <c r="C305" t="s">
        <v>534</v>
      </c>
      <c r="D305">
        <v>15962</v>
      </c>
      <c r="E305">
        <v>2483</v>
      </c>
      <c r="F305">
        <v>0.156</v>
      </c>
      <c r="G305">
        <v>0.40200000000000002</v>
      </c>
      <c r="H305" t="s">
        <v>232</v>
      </c>
      <c r="I305">
        <v>1077</v>
      </c>
      <c r="J305">
        <v>5725</v>
      </c>
      <c r="K305" s="12">
        <f>I305/D305</f>
        <v>6.7472747775967928E-2</v>
      </c>
      <c r="L305" s="12">
        <f>J305/D305</f>
        <v>0.3586643277784739</v>
      </c>
      <c r="M305" t="s">
        <v>505</v>
      </c>
      <c r="N305" s="8">
        <v>2013</v>
      </c>
      <c r="O305" s="8">
        <v>2013</v>
      </c>
      <c r="P305" s="8" t="s">
        <v>535</v>
      </c>
      <c r="Q305">
        <v>1</v>
      </c>
    </row>
    <row r="306" spans="1:17" ht="17.45" customHeight="1">
      <c r="A306" s="24" t="s">
        <v>171</v>
      </c>
      <c r="B306" t="s">
        <v>503</v>
      </c>
      <c r="C306" t="s">
        <v>536</v>
      </c>
      <c r="D306">
        <v>6584</v>
      </c>
      <c r="E306">
        <v>285</v>
      </c>
      <c r="F306">
        <v>4.2999999999999997E-2</v>
      </c>
      <c r="G306">
        <v>0.46500000000000002</v>
      </c>
      <c r="H306" t="s">
        <v>232</v>
      </c>
      <c r="I306">
        <v>105</v>
      </c>
      <c r="J306">
        <v>775</v>
      </c>
      <c r="K306" s="12">
        <f>I306/D306</f>
        <v>1.5947752126366951E-2</v>
      </c>
      <c r="L306" s="12">
        <f>J306/D306</f>
        <v>0.11770959902794653</v>
      </c>
      <c r="M306" t="s">
        <v>505</v>
      </c>
      <c r="N306" s="8">
        <v>2013</v>
      </c>
      <c r="O306" s="8">
        <v>2013</v>
      </c>
      <c r="P306" s="8" t="s">
        <v>535</v>
      </c>
      <c r="Q306">
        <v>1</v>
      </c>
    </row>
    <row r="307" spans="1:17" ht="17.45" customHeight="1">
      <c r="A307" s="24" t="s">
        <v>171</v>
      </c>
      <c r="B307" t="s">
        <v>503</v>
      </c>
      <c r="C307" t="s">
        <v>537</v>
      </c>
      <c r="D307">
        <v>7385</v>
      </c>
      <c r="E307">
        <v>410</v>
      </c>
      <c r="F307">
        <v>5.5E-2</v>
      </c>
      <c r="G307">
        <v>0.46899999999999997</v>
      </c>
      <c r="H307" t="s">
        <v>232</v>
      </c>
      <c r="I307">
        <v>160</v>
      </c>
      <c r="J307">
        <v>1049</v>
      </c>
      <c r="K307" s="12">
        <f>I307/D307</f>
        <v>2.1665538253215978E-2</v>
      </c>
      <c r="L307" s="12">
        <f>J307/D307</f>
        <v>0.14204468517264726</v>
      </c>
      <c r="M307" t="s">
        <v>505</v>
      </c>
      <c r="N307" s="8">
        <v>2013</v>
      </c>
      <c r="O307" s="8">
        <v>2013</v>
      </c>
      <c r="P307" s="8" t="s">
        <v>535</v>
      </c>
      <c r="Q307">
        <v>1</v>
      </c>
    </row>
    <row r="308" spans="1:17" ht="17.45" customHeight="1">
      <c r="A308" s="24" t="s">
        <v>171</v>
      </c>
      <c r="B308" t="s">
        <v>503</v>
      </c>
      <c r="C308" t="s">
        <v>538</v>
      </c>
      <c r="D308">
        <v>29931</v>
      </c>
      <c r="E308">
        <v>3178</v>
      </c>
      <c r="F308">
        <f>E308/D308</f>
        <v>0.10617754167919548</v>
      </c>
      <c r="G308">
        <v>0.32300000000000001</v>
      </c>
      <c r="H308" t="s">
        <v>232</v>
      </c>
      <c r="I308" t="s">
        <v>249</v>
      </c>
      <c r="J308" t="s">
        <v>249</v>
      </c>
      <c r="K308" t="s">
        <v>249</v>
      </c>
      <c r="L308" t="s">
        <v>249</v>
      </c>
      <c r="M308" t="s">
        <v>505</v>
      </c>
      <c r="N308" s="8">
        <v>2013</v>
      </c>
      <c r="O308" s="8">
        <v>2013</v>
      </c>
      <c r="P308" s="8" t="s">
        <v>535</v>
      </c>
      <c r="Q308">
        <v>1</v>
      </c>
    </row>
    <row r="309" spans="1:17" ht="17.45" customHeight="1">
      <c r="A309" s="24" t="s">
        <v>171</v>
      </c>
      <c r="B309" t="s">
        <v>503</v>
      </c>
      <c r="C309" t="s">
        <v>539</v>
      </c>
      <c r="D309">
        <v>15962</v>
      </c>
      <c r="E309">
        <v>2695</v>
      </c>
      <c r="F309">
        <v>0.16900000000000001</v>
      </c>
      <c r="G309">
        <v>0.24199999999999999</v>
      </c>
      <c r="H309" t="s">
        <v>232</v>
      </c>
      <c r="I309">
        <v>70</v>
      </c>
      <c r="J309">
        <v>4484</v>
      </c>
      <c r="K309" s="12">
        <f>I309/D309</f>
        <v>4.3854153614835229E-3</v>
      </c>
      <c r="L309" s="12">
        <f>J309/D309</f>
        <v>0.28091717829845886</v>
      </c>
      <c r="M309" t="s">
        <v>505</v>
      </c>
      <c r="N309" s="8">
        <v>2014</v>
      </c>
      <c r="O309" s="8">
        <v>2014</v>
      </c>
      <c r="P309" s="8" t="s">
        <v>540</v>
      </c>
      <c r="Q309">
        <v>1</v>
      </c>
    </row>
    <row r="310" spans="1:17" ht="17.45" customHeight="1">
      <c r="A310" s="24" t="s">
        <v>171</v>
      </c>
      <c r="B310" t="s">
        <v>503</v>
      </c>
      <c r="C310" t="s">
        <v>541</v>
      </c>
      <c r="D310">
        <v>6584</v>
      </c>
      <c r="E310">
        <v>1434</v>
      </c>
      <c r="F310">
        <v>0.218</v>
      </c>
      <c r="G310">
        <v>0.26800000000000002</v>
      </c>
      <c r="H310" t="s">
        <v>232</v>
      </c>
      <c r="I310">
        <v>793</v>
      </c>
      <c r="J310">
        <v>2593</v>
      </c>
      <c r="K310" s="12">
        <f>I310/D310</f>
        <v>0.12044349939246658</v>
      </c>
      <c r="L310" s="12">
        <f>J310/D310</f>
        <v>0.39383353584447145</v>
      </c>
      <c r="M310" t="s">
        <v>505</v>
      </c>
      <c r="N310" s="8">
        <v>2014</v>
      </c>
      <c r="O310" s="8">
        <v>2014</v>
      </c>
      <c r="P310" s="8" t="s">
        <v>540</v>
      </c>
      <c r="Q310">
        <v>1</v>
      </c>
    </row>
    <row r="311" spans="1:17" ht="17.45" customHeight="1">
      <c r="A311" s="24" t="s">
        <v>171</v>
      </c>
      <c r="B311" t="s">
        <v>503</v>
      </c>
      <c r="C311" t="s">
        <v>542</v>
      </c>
      <c r="D311">
        <v>7385</v>
      </c>
      <c r="E311">
        <v>2142</v>
      </c>
      <c r="F311">
        <v>0.28999999999999998</v>
      </c>
      <c r="G311">
        <v>0.443</v>
      </c>
      <c r="H311" t="s">
        <v>232</v>
      </c>
      <c r="I311">
        <v>870</v>
      </c>
      <c r="J311">
        <v>5273</v>
      </c>
      <c r="K311" s="12">
        <f>I311/D311</f>
        <v>0.11780636425186188</v>
      </c>
      <c r="L311" s="12">
        <f>J311/D311</f>
        <v>0.71401489505754911</v>
      </c>
      <c r="M311" t="s">
        <v>505</v>
      </c>
      <c r="N311" s="8">
        <v>2014</v>
      </c>
      <c r="O311" s="8">
        <v>2014</v>
      </c>
      <c r="P311" s="8" t="s">
        <v>540</v>
      </c>
      <c r="Q311">
        <v>1</v>
      </c>
    </row>
    <row r="312" spans="1:17" ht="17.45" customHeight="1">
      <c r="A312" s="24" t="s">
        <v>171</v>
      </c>
      <c r="B312" t="s">
        <v>503</v>
      </c>
      <c r="C312" t="s">
        <v>543</v>
      </c>
      <c r="D312">
        <v>29931</v>
      </c>
      <c r="E312">
        <v>6271</v>
      </c>
      <c r="F312">
        <f>E312/D312</f>
        <v>0.20951521833550499</v>
      </c>
      <c r="G312">
        <v>0.19400000000000001</v>
      </c>
      <c r="H312" t="s">
        <v>232</v>
      </c>
      <c r="I312" t="s">
        <v>249</v>
      </c>
      <c r="J312" t="s">
        <v>249</v>
      </c>
      <c r="K312" t="s">
        <v>249</v>
      </c>
      <c r="L312" t="s">
        <v>249</v>
      </c>
      <c r="M312" t="s">
        <v>505</v>
      </c>
      <c r="N312" s="8">
        <v>2014</v>
      </c>
      <c r="O312" s="8">
        <v>2014</v>
      </c>
      <c r="P312" s="8" t="s">
        <v>540</v>
      </c>
      <c r="Q312">
        <v>1</v>
      </c>
    </row>
    <row r="313" spans="1:17" ht="17.45" customHeight="1">
      <c r="A313" s="24" t="s">
        <v>171</v>
      </c>
      <c r="B313" t="s">
        <v>503</v>
      </c>
      <c r="C313" t="s">
        <v>544</v>
      </c>
      <c r="D313">
        <v>15962</v>
      </c>
      <c r="E313">
        <v>1153</v>
      </c>
      <c r="F313">
        <v>7.1999999999999995E-2</v>
      </c>
      <c r="G313">
        <v>0.82099999999999995</v>
      </c>
      <c r="H313" t="s">
        <v>232</v>
      </c>
      <c r="I313">
        <v>246</v>
      </c>
      <c r="J313">
        <v>5396</v>
      </c>
      <c r="K313" s="12">
        <f>I313/D313</f>
        <v>1.5411602556070669E-2</v>
      </c>
      <c r="L313" s="12">
        <f>J313/D313</f>
        <v>0.33805287557950131</v>
      </c>
      <c r="M313" t="s">
        <v>505</v>
      </c>
      <c r="N313" s="8">
        <v>2015</v>
      </c>
      <c r="O313" s="8">
        <v>2015</v>
      </c>
      <c r="P313" s="8" t="s">
        <v>545</v>
      </c>
      <c r="Q313">
        <v>1</v>
      </c>
    </row>
    <row r="314" spans="1:17" ht="17.45" customHeight="1">
      <c r="A314" s="24" t="s">
        <v>171</v>
      </c>
      <c r="B314" t="s">
        <v>503</v>
      </c>
      <c r="C314" t="s">
        <v>546</v>
      </c>
      <c r="D314">
        <v>6584</v>
      </c>
      <c r="E314">
        <v>856</v>
      </c>
      <c r="F314">
        <v>0.13</v>
      </c>
      <c r="G314">
        <v>0.373</v>
      </c>
      <c r="H314" t="s">
        <v>232</v>
      </c>
      <c r="I314">
        <v>388</v>
      </c>
      <c r="J314">
        <v>1889</v>
      </c>
      <c r="K314" s="12">
        <f>I314/D314</f>
        <v>5.8930741190765495E-2</v>
      </c>
      <c r="L314" s="12">
        <f>J314/D314</f>
        <v>0.28690765492102066</v>
      </c>
      <c r="M314" t="s">
        <v>505</v>
      </c>
      <c r="N314">
        <v>2015</v>
      </c>
      <c r="O314">
        <v>2015</v>
      </c>
      <c r="P314" s="8" t="s">
        <v>545</v>
      </c>
      <c r="Q314">
        <v>1</v>
      </c>
    </row>
    <row r="315" spans="1:17" ht="17.45" customHeight="1">
      <c r="A315" s="24" t="s">
        <v>171</v>
      </c>
      <c r="B315" t="s">
        <v>503</v>
      </c>
      <c r="C315" t="s">
        <v>547</v>
      </c>
      <c r="D315">
        <v>7385</v>
      </c>
      <c r="E315">
        <v>810</v>
      </c>
      <c r="F315">
        <v>0.11</v>
      </c>
      <c r="G315">
        <v>0.53500000000000003</v>
      </c>
      <c r="H315" t="s">
        <v>232</v>
      </c>
      <c r="I315">
        <v>282</v>
      </c>
      <c r="J315">
        <v>2325</v>
      </c>
      <c r="K315" s="12">
        <f>I315/D315</f>
        <v>3.8185511171293159E-2</v>
      </c>
      <c r="L315" s="12">
        <f>J315/D315</f>
        <v>0.31482735274204471</v>
      </c>
      <c r="M315" t="s">
        <v>505</v>
      </c>
      <c r="N315">
        <v>2015</v>
      </c>
      <c r="O315">
        <v>2015</v>
      </c>
      <c r="P315" s="8" t="s">
        <v>545</v>
      </c>
      <c r="Q315">
        <v>1</v>
      </c>
    </row>
    <row r="316" spans="1:17" ht="17.45" customHeight="1">
      <c r="A316" s="24" t="s">
        <v>171</v>
      </c>
      <c r="B316" t="s">
        <v>503</v>
      </c>
      <c r="C316" t="s">
        <v>548</v>
      </c>
      <c r="D316">
        <v>29931</v>
      </c>
      <c r="E316">
        <v>2818</v>
      </c>
      <c r="F316">
        <f>E316/D316</f>
        <v>9.4149878052854893E-2</v>
      </c>
      <c r="G316">
        <v>0.38600000000000001</v>
      </c>
      <c r="H316" t="s">
        <v>232</v>
      </c>
      <c r="I316" t="s">
        <v>249</v>
      </c>
      <c r="J316" t="s">
        <v>249</v>
      </c>
      <c r="K316" t="s">
        <v>249</v>
      </c>
      <c r="L316" t="s">
        <v>249</v>
      </c>
      <c r="M316" t="s">
        <v>505</v>
      </c>
      <c r="N316">
        <v>2015</v>
      </c>
      <c r="O316">
        <v>2015</v>
      </c>
      <c r="P316" s="8" t="s">
        <v>545</v>
      </c>
      <c r="Q316">
        <v>1</v>
      </c>
    </row>
    <row r="317" spans="1:17" ht="17.45" customHeight="1">
      <c r="A317" s="24" t="s">
        <v>171</v>
      </c>
      <c r="B317" t="s">
        <v>503</v>
      </c>
      <c r="C317" t="s">
        <v>549</v>
      </c>
      <c r="D317">
        <v>15962</v>
      </c>
      <c r="E317">
        <v>284</v>
      </c>
      <c r="F317">
        <v>1.7999999999999999E-2</v>
      </c>
      <c r="G317">
        <v>0.73199999999999998</v>
      </c>
      <c r="H317" t="s">
        <v>232</v>
      </c>
      <c r="I317">
        <v>70</v>
      </c>
      <c r="J317">
        <v>1149</v>
      </c>
      <c r="K317" s="12">
        <f>I317/D317</f>
        <v>4.3854153614835229E-3</v>
      </c>
      <c r="L317" s="12">
        <f>J317/D317</f>
        <v>7.1983460719208123E-2</v>
      </c>
      <c r="M317" t="s">
        <v>505</v>
      </c>
      <c r="N317">
        <v>2016</v>
      </c>
      <c r="O317">
        <v>2016</v>
      </c>
      <c r="P317" s="8" t="s">
        <v>550</v>
      </c>
      <c r="Q317">
        <v>1</v>
      </c>
    </row>
    <row r="318" spans="1:17" ht="17.45" customHeight="1">
      <c r="A318" s="24" t="s">
        <v>171</v>
      </c>
      <c r="B318" t="s">
        <v>503</v>
      </c>
      <c r="C318" t="s">
        <v>551</v>
      </c>
      <c r="D318">
        <v>6584</v>
      </c>
      <c r="E318">
        <v>0</v>
      </c>
      <c r="F318">
        <v>0</v>
      </c>
      <c r="G318">
        <v>0</v>
      </c>
      <c r="H318" t="s">
        <v>232</v>
      </c>
      <c r="I318">
        <v>0</v>
      </c>
      <c r="J318">
        <v>0</v>
      </c>
      <c r="K318" s="12">
        <f>I318/D318</f>
        <v>0</v>
      </c>
      <c r="L318" s="12">
        <f>J318/D318</f>
        <v>0</v>
      </c>
      <c r="M318" t="s">
        <v>505</v>
      </c>
      <c r="N318">
        <v>2016</v>
      </c>
      <c r="O318">
        <v>2016</v>
      </c>
      <c r="P318" s="8" t="s">
        <v>550</v>
      </c>
      <c r="Q318">
        <v>1</v>
      </c>
    </row>
    <row r="319" spans="1:17" ht="17.45" customHeight="1">
      <c r="A319" s="24" t="s">
        <v>171</v>
      </c>
      <c r="B319" t="s">
        <v>503</v>
      </c>
      <c r="C319" t="s">
        <v>552</v>
      </c>
      <c r="D319">
        <v>7385</v>
      </c>
      <c r="E319">
        <v>0</v>
      </c>
      <c r="F319">
        <v>0</v>
      </c>
      <c r="G319">
        <v>0</v>
      </c>
      <c r="H319" t="s">
        <v>232</v>
      </c>
      <c r="I319">
        <v>0</v>
      </c>
      <c r="J319">
        <v>0</v>
      </c>
      <c r="K319" s="12">
        <f>I319/D319</f>
        <v>0</v>
      </c>
      <c r="L319" s="12">
        <f>J319/D319</f>
        <v>0</v>
      </c>
      <c r="M319" t="s">
        <v>505</v>
      </c>
      <c r="N319">
        <v>2016</v>
      </c>
      <c r="O319">
        <v>2016</v>
      </c>
      <c r="P319" s="8" t="s">
        <v>550</v>
      </c>
      <c r="Q319">
        <v>1</v>
      </c>
    </row>
    <row r="320" spans="1:17" ht="17.45" customHeight="1">
      <c r="A320" s="24" t="s">
        <v>171</v>
      </c>
      <c r="B320" t="s">
        <v>503</v>
      </c>
      <c r="C320" t="s">
        <v>553</v>
      </c>
      <c r="D320">
        <v>29931</v>
      </c>
      <c r="E320">
        <v>284</v>
      </c>
      <c r="F320">
        <f>E320/D320</f>
        <v>9.4884901941131271E-3</v>
      </c>
      <c r="G320">
        <v>0.73199999999999998</v>
      </c>
      <c r="H320" t="s">
        <v>232</v>
      </c>
      <c r="I320" t="s">
        <v>249</v>
      </c>
      <c r="J320" t="s">
        <v>249</v>
      </c>
      <c r="K320" t="s">
        <v>249</v>
      </c>
      <c r="L320" t="s">
        <v>249</v>
      </c>
      <c r="M320" t="s">
        <v>505</v>
      </c>
      <c r="N320">
        <v>2016</v>
      </c>
      <c r="O320">
        <v>2016</v>
      </c>
      <c r="P320" s="8" t="s">
        <v>550</v>
      </c>
      <c r="Q320">
        <v>1</v>
      </c>
    </row>
    <row r="321" spans="1:17" ht="17.45" customHeight="1">
      <c r="A321" s="24" t="s">
        <v>171</v>
      </c>
      <c r="B321" t="s">
        <v>503</v>
      </c>
      <c r="C321" t="s">
        <v>554</v>
      </c>
      <c r="D321">
        <v>15962</v>
      </c>
      <c r="E321">
        <v>439</v>
      </c>
      <c r="F321">
        <v>2.7E-2</v>
      </c>
      <c r="G321">
        <v>0.56200000000000006</v>
      </c>
      <c r="H321" t="s">
        <v>232</v>
      </c>
      <c r="I321">
        <v>140</v>
      </c>
      <c r="J321">
        <v>1372</v>
      </c>
      <c r="K321" s="12">
        <f>I321/D321</f>
        <v>8.7708307229670459E-3</v>
      </c>
      <c r="L321" s="12">
        <f>J321/D321</f>
        <v>8.5954141085077054E-2</v>
      </c>
      <c r="M321" t="s">
        <v>505</v>
      </c>
      <c r="N321">
        <v>2017</v>
      </c>
      <c r="O321">
        <v>2017</v>
      </c>
      <c r="P321" s="8" t="s">
        <v>555</v>
      </c>
      <c r="Q321">
        <v>1</v>
      </c>
    </row>
    <row r="322" spans="1:17" ht="17.45" customHeight="1">
      <c r="A322" s="24" t="s">
        <v>171</v>
      </c>
      <c r="B322" t="s">
        <v>503</v>
      </c>
      <c r="C322" t="s">
        <v>556</v>
      </c>
      <c r="D322">
        <v>6584</v>
      </c>
      <c r="E322">
        <v>789</v>
      </c>
      <c r="F322">
        <v>0.12</v>
      </c>
      <c r="G322">
        <v>0.35199999999999998</v>
      </c>
      <c r="H322" t="s">
        <v>232</v>
      </c>
      <c r="I322">
        <v>374</v>
      </c>
      <c r="J322">
        <v>1667</v>
      </c>
      <c r="K322" s="12">
        <f>I322/D322</f>
        <v>5.6804374240583232E-2</v>
      </c>
      <c r="L322" s="12">
        <f>J322/D322</f>
        <v>0.25318955042527341</v>
      </c>
      <c r="M322" t="s">
        <v>505</v>
      </c>
      <c r="N322">
        <v>2017</v>
      </c>
      <c r="O322">
        <v>2017</v>
      </c>
      <c r="P322" t="s">
        <v>555</v>
      </c>
      <c r="Q322">
        <v>1</v>
      </c>
    </row>
    <row r="323" spans="1:17" ht="17.45" customHeight="1">
      <c r="A323" s="24" t="s">
        <v>171</v>
      </c>
      <c r="B323" t="s">
        <v>503</v>
      </c>
      <c r="C323" t="s">
        <v>557</v>
      </c>
      <c r="D323">
        <v>7385</v>
      </c>
      <c r="E323">
        <v>336</v>
      </c>
      <c r="F323">
        <v>4.4999999999999998E-2</v>
      </c>
      <c r="G323">
        <v>0.71299999999999997</v>
      </c>
      <c r="H323" t="s">
        <v>232</v>
      </c>
      <c r="I323">
        <v>87</v>
      </c>
      <c r="J323">
        <v>1298</v>
      </c>
      <c r="K323" s="12">
        <f>I323/D323</f>
        <v>1.1780636425186189E-2</v>
      </c>
      <c r="L323" s="12">
        <f>J323/D323</f>
        <v>0.17576167907921461</v>
      </c>
      <c r="M323" t="s">
        <v>505</v>
      </c>
      <c r="N323">
        <v>2017</v>
      </c>
      <c r="O323">
        <v>2017</v>
      </c>
      <c r="P323" t="s">
        <v>555</v>
      </c>
      <c r="Q323">
        <v>1</v>
      </c>
    </row>
    <row r="324" spans="1:17" ht="17.45" customHeight="1">
      <c r="A324" s="24" t="s">
        <v>171</v>
      </c>
      <c r="B324" t="s">
        <v>503</v>
      </c>
      <c r="C324" t="s">
        <v>558</v>
      </c>
      <c r="D324">
        <v>29931</v>
      </c>
      <c r="E324">
        <v>1564</v>
      </c>
      <c r="F324">
        <f>E324/D324</f>
        <v>5.2253516421101869E-2</v>
      </c>
      <c r="G324">
        <v>0.28199999999999997</v>
      </c>
      <c r="H324" t="s">
        <v>232</v>
      </c>
      <c r="I324" t="s">
        <v>249</v>
      </c>
      <c r="J324" t="s">
        <v>249</v>
      </c>
      <c r="K324" t="s">
        <v>249</v>
      </c>
      <c r="L324" t="s">
        <v>249</v>
      </c>
      <c r="M324" t="s">
        <v>505</v>
      </c>
      <c r="N324">
        <v>2017</v>
      </c>
      <c r="O324">
        <v>2017</v>
      </c>
      <c r="P324" t="s">
        <v>555</v>
      </c>
      <c r="Q324">
        <v>1</v>
      </c>
    </row>
    <row r="325" spans="1:17" ht="17.45" customHeight="1">
      <c r="A325" s="24" t="s">
        <v>171</v>
      </c>
      <c r="B325" t="s">
        <v>503</v>
      </c>
      <c r="C325" t="s">
        <v>559</v>
      </c>
      <c r="D325">
        <v>90</v>
      </c>
      <c r="E325">
        <v>2260</v>
      </c>
      <c r="F325">
        <v>25.11</v>
      </c>
      <c r="G325">
        <v>0.63600000000000001</v>
      </c>
      <c r="H325" t="s">
        <v>232</v>
      </c>
      <c r="I325">
        <v>469</v>
      </c>
      <c r="J325">
        <v>10900</v>
      </c>
      <c r="K325" s="12">
        <f>I325/D325</f>
        <v>5.2111111111111112</v>
      </c>
      <c r="L325" s="12">
        <f>J325/D325</f>
        <v>121.11111111111111</v>
      </c>
      <c r="M325" t="s">
        <v>505</v>
      </c>
      <c r="N325">
        <v>2018</v>
      </c>
      <c r="O325">
        <v>2018</v>
      </c>
      <c r="P325" t="s">
        <v>560</v>
      </c>
      <c r="Q325">
        <v>1</v>
      </c>
    </row>
    <row r="326" spans="1:17" ht="17.45" customHeight="1">
      <c r="A326" s="24" t="s">
        <v>171</v>
      </c>
      <c r="B326" t="s">
        <v>503</v>
      </c>
      <c r="C326" t="s">
        <v>561</v>
      </c>
      <c r="D326">
        <v>15872</v>
      </c>
      <c r="E326">
        <v>651</v>
      </c>
      <c r="F326">
        <v>4.1000000000000002E-2</v>
      </c>
      <c r="G326">
        <v>0.68200000000000005</v>
      </c>
      <c r="H326" t="s">
        <v>232</v>
      </c>
      <c r="I326">
        <v>169</v>
      </c>
      <c r="J326">
        <v>2510</v>
      </c>
      <c r="K326" s="12">
        <f>I326/D326</f>
        <v>1.0647681451612902E-2</v>
      </c>
      <c r="L326" s="12">
        <f>J326/D326</f>
        <v>0.15814012096774194</v>
      </c>
      <c r="M326" t="s">
        <v>505</v>
      </c>
      <c r="N326">
        <v>2018</v>
      </c>
      <c r="O326">
        <v>2018</v>
      </c>
      <c r="P326" t="s">
        <v>560</v>
      </c>
      <c r="Q326">
        <v>1</v>
      </c>
    </row>
    <row r="327" spans="1:17" ht="17.45" customHeight="1">
      <c r="A327" s="24" t="s">
        <v>171</v>
      </c>
      <c r="B327" t="s">
        <v>503</v>
      </c>
      <c r="C327" t="s">
        <v>562</v>
      </c>
      <c r="D327">
        <v>6584</v>
      </c>
      <c r="E327">
        <v>0</v>
      </c>
      <c r="F327">
        <v>0</v>
      </c>
      <c r="G327">
        <v>0</v>
      </c>
      <c r="H327" t="s">
        <v>232</v>
      </c>
      <c r="I327">
        <v>0</v>
      </c>
      <c r="J327">
        <v>0</v>
      </c>
      <c r="K327" s="12">
        <f>I327/D327</f>
        <v>0</v>
      </c>
      <c r="L327" s="12">
        <f>J327/D327</f>
        <v>0</v>
      </c>
      <c r="M327" t="s">
        <v>505</v>
      </c>
      <c r="N327">
        <v>2018</v>
      </c>
      <c r="O327">
        <v>2018</v>
      </c>
      <c r="P327" t="s">
        <v>560</v>
      </c>
      <c r="Q327">
        <v>1</v>
      </c>
    </row>
    <row r="328" spans="1:17" ht="17.45" customHeight="1">
      <c r="A328" s="24" t="s">
        <v>171</v>
      </c>
      <c r="B328" t="s">
        <v>503</v>
      </c>
      <c r="C328" t="s">
        <v>563</v>
      </c>
      <c r="D328">
        <v>7385</v>
      </c>
      <c r="E328">
        <v>897</v>
      </c>
      <c r="F328">
        <v>0.121</v>
      </c>
      <c r="G328">
        <v>0.45800000000000002</v>
      </c>
      <c r="H328" t="s">
        <v>232</v>
      </c>
      <c r="I328">
        <v>359</v>
      </c>
      <c r="J328">
        <v>2241</v>
      </c>
      <c r="K328" s="12">
        <f>I328/D328</f>
        <v>4.8612051455653352E-2</v>
      </c>
      <c r="L328" s="12">
        <f>J328/D328</f>
        <v>0.30345294515910631</v>
      </c>
      <c r="M328" t="s">
        <v>505</v>
      </c>
      <c r="N328">
        <v>2018</v>
      </c>
      <c r="O328">
        <v>2018</v>
      </c>
      <c r="P328" t="s">
        <v>560</v>
      </c>
      <c r="Q328">
        <v>1</v>
      </c>
    </row>
    <row r="329" spans="1:17" ht="17.45" customHeight="1">
      <c r="A329" s="24" t="s">
        <v>171</v>
      </c>
      <c r="B329" t="s">
        <v>503</v>
      </c>
      <c r="C329" t="s">
        <v>564</v>
      </c>
      <c r="D329">
        <v>29931</v>
      </c>
      <c r="E329">
        <v>3808</v>
      </c>
      <c r="F329">
        <f>E329/D329</f>
        <v>0.12722595302529149</v>
      </c>
      <c r="G329">
        <v>0.40899999999999997</v>
      </c>
      <c r="H329" t="s">
        <v>232</v>
      </c>
      <c r="I329" t="s">
        <v>249</v>
      </c>
      <c r="J329" t="s">
        <v>249</v>
      </c>
      <c r="K329" t="s">
        <v>249</v>
      </c>
      <c r="L329" t="s">
        <v>249</v>
      </c>
      <c r="M329" t="s">
        <v>505</v>
      </c>
      <c r="N329">
        <v>2018</v>
      </c>
      <c r="O329">
        <v>2018</v>
      </c>
      <c r="P329" t="s">
        <v>560</v>
      </c>
      <c r="Q329">
        <v>1</v>
      </c>
    </row>
    <row r="330" spans="1:17" ht="17.45" customHeight="1">
      <c r="A330" s="24" t="s">
        <v>171</v>
      </c>
      <c r="B330" t="s">
        <v>503</v>
      </c>
      <c r="C330" t="s">
        <v>565</v>
      </c>
      <c r="D330">
        <v>90</v>
      </c>
      <c r="E330">
        <v>1417</v>
      </c>
      <c r="F330">
        <v>15.741</v>
      </c>
      <c r="G330">
        <v>0.61599999999999999</v>
      </c>
      <c r="H330" t="s">
        <v>232</v>
      </c>
      <c r="I330">
        <v>340</v>
      </c>
      <c r="J330">
        <v>5897</v>
      </c>
      <c r="K330" s="12">
        <f>I330/D330</f>
        <v>3.7777777777777777</v>
      </c>
      <c r="L330" s="12">
        <f>J330/D330</f>
        <v>65.522222222222226</v>
      </c>
      <c r="M330" t="s">
        <v>505</v>
      </c>
      <c r="N330">
        <v>2019</v>
      </c>
      <c r="O330">
        <v>2019</v>
      </c>
      <c r="P330" t="s">
        <v>566</v>
      </c>
      <c r="Q330">
        <v>1</v>
      </c>
    </row>
    <row r="331" spans="1:17" ht="17.45" customHeight="1">
      <c r="A331" s="24" t="s">
        <v>171</v>
      </c>
      <c r="B331" t="s">
        <v>503</v>
      </c>
      <c r="C331" t="s">
        <v>567</v>
      </c>
      <c r="D331">
        <v>15872</v>
      </c>
      <c r="E331">
        <v>1357</v>
      </c>
      <c r="F331">
        <v>8.5999999999999993E-2</v>
      </c>
      <c r="G331">
        <v>0.45400000000000001</v>
      </c>
      <c r="H331" t="s">
        <v>232</v>
      </c>
      <c r="I331">
        <v>532</v>
      </c>
      <c r="J331">
        <v>3462</v>
      </c>
      <c r="K331" s="12">
        <f>I331/D331</f>
        <v>3.3518145161290321E-2</v>
      </c>
      <c r="L331" s="12">
        <f>J331/D331</f>
        <v>0.21811995967741934</v>
      </c>
      <c r="M331" t="s">
        <v>505</v>
      </c>
      <c r="N331">
        <v>2019</v>
      </c>
      <c r="O331">
        <v>2019</v>
      </c>
      <c r="P331" t="s">
        <v>566</v>
      </c>
      <c r="Q331">
        <v>1</v>
      </c>
    </row>
    <row r="332" spans="1:17" ht="17.45" customHeight="1">
      <c r="A332" s="24" t="s">
        <v>171</v>
      </c>
      <c r="B332" t="s">
        <v>503</v>
      </c>
      <c r="C332" t="s">
        <v>568</v>
      </c>
      <c r="D332">
        <v>6584</v>
      </c>
      <c r="E332">
        <v>624</v>
      </c>
      <c r="F332">
        <v>9.5000000000000001E-2</v>
      </c>
      <c r="G332">
        <v>0.47</v>
      </c>
      <c r="H332" t="s">
        <v>232</v>
      </c>
      <c r="I332">
        <v>232</v>
      </c>
      <c r="J332">
        <v>1684</v>
      </c>
      <c r="K332" s="12">
        <f>I332/D332</f>
        <v>3.5236938031591739E-2</v>
      </c>
      <c r="L332" s="12">
        <f>J332/D332</f>
        <v>0.25577156743620899</v>
      </c>
      <c r="M332" t="s">
        <v>505</v>
      </c>
      <c r="N332">
        <v>2019</v>
      </c>
      <c r="O332">
        <v>2019</v>
      </c>
      <c r="P332" t="s">
        <v>566</v>
      </c>
      <c r="Q332">
        <v>1</v>
      </c>
    </row>
    <row r="333" spans="1:17" ht="17.45" customHeight="1">
      <c r="A333" s="24" t="s">
        <v>171</v>
      </c>
      <c r="B333" t="s">
        <v>503</v>
      </c>
      <c r="C333" t="s">
        <v>569</v>
      </c>
      <c r="D333">
        <v>7385</v>
      </c>
      <c r="E333">
        <v>850</v>
      </c>
      <c r="F333">
        <v>0.115</v>
      </c>
      <c r="G333">
        <v>0.66600000000000004</v>
      </c>
      <c r="H333" t="s">
        <v>232</v>
      </c>
      <c r="I333">
        <v>238</v>
      </c>
      <c r="J333">
        <v>3032</v>
      </c>
      <c r="K333" s="12">
        <f>I333/D333</f>
        <v>3.2227488151658767E-2</v>
      </c>
      <c r="L333" s="12">
        <f>J333/D333</f>
        <v>0.4105619498984428</v>
      </c>
      <c r="M333" t="s">
        <v>505</v>
      </c>
      <c r="N333">
        <v>2019</v>
      </c>
      <c r="O333">
        <v>2019</v>
      </c>
      <c r="P333" t="s">
        <v>566</v>
      </c>
      <c r="Q333">
        <v>1</v>
      </c>
    </row>
    <row r="334" spans="1:17" ht="17.45" customHeight="1">
      <c r="A334" s="24" t="s">
        <v>171</v>
      </c>
      <c r="B334" t="s">
        <v>503</v>
      </c>
      <c r="C334" t="s">
        <v>570</v>
      </c>
      <c r="D334">
        <v>29931</v>
      </c>
      <c r="E334">
        <v>4248</v>
      </c>
      <c r="F334">
        <f>E334/D334</f>
        <v>0.14192643079081887</v>
      </c>
      <c r="G334">
        <v>0.29299999999999998</v>
      </c>
      <c r="H334" t="s">
        <v>232</v>
      </c>
      <c r="I334" t="s">
        <v>249</v>
      </c>
      <c r="J334" t="s">
        <v>249</v>
      </c>
      <c r="K334" t="s">
        <v>249</v>
      </c>
      <c r="L334" t="s">
        <v>249</v>
      </c>
      <c r="M334" t="s">
        <v>505</v>
      </c>
      <c r="N334">
        <v>2019</v>
      </c>
      <c r="O334">
        <v>2019</v>
      </c>
      <c r="P334" t="s">
        <v>566</v>
      </c>
      <c r="Q334">
        <v>1</v>
      </c>
    </row>
    <row r="335" spans="1:17" ht="17.45" customHeight="1">
      <c r="A335" s="24" t="s">
        <v>171</v>
      </c>
      <c r="B335" t="s">
        <v>503</v>
      </c>
      <c r="C335" t="s">
        <v>571</v>
      </c>
      <c r="D335">
        <v>15962</v>
      </c>
      <c r="E335">
        <v>2489</v>
      </c>
      <c r="F335">
        <v>0.156</v>
      </c>
      <c r="G335">
        <v>0.29099999999999998</v>
      </c>
      <c r="H335" t="s">
        <v>232</v>
      </c>
      <c r="I335">
        <v>1309</v>
      </c>
      <c r="J335">
        <v>4732</v>
      </c>
      <c r="K335" s="12">
        <f t="shared" ref="K335:K365" si="17">I335/D335</f>
        <v>8.2007267259741889E-2</v>
      </c>
      <c r="L335" s="12">
        <f t="shared" ref="L335:L365" si="18">J335/D335</f>
        <v>0.29645407843628618</v>
      </c>
      <c r="M335" t="s">
        <v>505</v>
      </c>
      <c r="N335">
        <v>2007</v>
      </c>
      <c r="O335">
        <v>2007</v>
      </c>
      <c r="P335" t="s">
        <v>572</v>
      </c>
      <c r="Q335">
        <v>1</v>
      </c>
    </row>
    <row r="336" spans="1:17" ht="17.45" customHeight="1">
      <c r="A336" s="24" t="s">
        <v>171</v>
      </c>
      <c r="B336" t="s">
        <v>503</v>
      </c>
      <c r="C336" t="s">
        <v>573</v>
      </c>
      <c r="D336">
        <v>6584</v>
      </c>
      <c r="E336">
        <v>673</v>
      </c>
      <c r="F336">
        <v>0.10199999999999999</v>
      </c>
      <c r="G336">
        <v>0.38200000000000001</v>
      </c>
      <c r="H336" t="s">
        <v>232</v>
      </c>
      <c r="I336">
        <v>293</v>
      </c>
      <c r="J336">
        <v>1547</v>
      </c>
      <c r="K336" s="12">
        <f t="shared" si="17"/>
        <v>4.4501822600243011E-2</v>
      </c>
      <c r="L336" s="12">
        <f t="shared" si="18"/>
        <v>0.23496354799513974</v>
      </c>
      <c r="M336" t="s">
        <v>505</v>
      </c>
      <c r="N336">
        <v>2007</v>
      </c>
      <c r="O336">
        <v>2007</v>
      </c>
      <c r="P336" t="s">
        <v>572</v>
      </c>
      <c r="Q336">
        <v>1</v>
      </c>
    </row>
    <row r="337" spans="1:17" ht="17.45" customHeight="1">
      <c r="A337" s="24" t="s">
        <v>171</v>
      </c>
      <c r="B337" t="s">
        <v>503</v>
      </c>
      <c r="C337" t="s">
        <v>574</v>
      </c>
      <c r="D337">
        <v>15962</v>
      </c>
      <c r="E337">
        <v>0</v>
      </c>
      <c r="F337">
        <v>0</v>
      </c>
      <c r="G337">
        <v>0</v>
      </c>
      <c r="H337" t="s">
        <v>232</v>
      </c>
      <c r="I337">
        <v>0</v>
      </c>
      <c r="J337">
        <v>0</v>
      </c>
      <c r="K337" s="12">
        <f t="shared" si="17"/>
        <v>0</v>
      </c>
      <c r="L337" s="12">
        <f t="shared" si="18"/>
        <v>0</v>
      </c>
      <c r="M337" t="s">
        <v>505</v>
      </c>
      <c r="N337">
        <v>2007</v>
      </c>
      <c r="O337">
        <v>2007</v>
      </c>
      <c r="P337" t="s">
        <v>575</v>
      </c>
      <c r="Q337">
        <v>1</v>
      </c>
    </row>
    <row r="338" spans="1:17" ht="17.45" customHeight="1">
      <c r="A338" s="24" t="s">
        <v>171</v>
      </c>
      <c r="B338" t="s">
        <v>503</v>
      </c>
      <c r="C338" t="s">
        <v>576</v>
      </c>
      <c r="D338">
        <v>6584</v>
      </c>
      <c r="E338">
        <v>1396</v>
      </c>
      <c r="F338">
        <v>0.21199999999999999</v>
      </c>
      <c r="G338">
        <v>0.46600000000000003</v>
      </c>
      <c r="H338" t="s">
        <v>232</v>
      </c>
      <c r="I338">
        <v>513</v>
      </c>
      <c r="J338">
        <v>3800</v>
      </c>
      <c r="K338" s="12">
        <f t="shared" si="17"/>
        <v>7.791616038882139E-2</v>
      </c>
      <c r="L338" s="12">
        <f t="shared" si="18"/>
        <v>0.57715674362089919</v>
      </c>
      <c r="M338" t="s">
        <v>505</v>
      </c>
      <c r="N338">
        <v>2007</v>
      </c>
      <c r="O338">
        <v>2007</v>
      </c>
      <c r="P338" t="s">
        <v>575</v>
      </c>
      <c r="Q338">
        <v>1</v>
      </c>
    </row>
    <row r="339" spans="1:17" ht="17.45" customHeight="1">
      <c r="A339" s="24" t="s">
        <v>175</v>
      </c>
      <c r="B339" t="s">
        <v>503</v>
      </c>
      <c r="C339" t="s">
        <v>577</v>
      </c>
      <c r="D339">
        <v>1332</v>
      </c>
      <c r="E339">
        <v>511</v>
      </c>
      <c r="F339">
        <f t="shared" ref="F339:F365" si="19">E339/D339</f>
        <v>0.38363363363363362</v>
      </c>
      <c r="G339" t="s">
        <v>249</v>
      </c>
      <c r="H339" t="s">
        <v>249</v>
      </c>
      <c r="I339">
        <v>465</v>
      </c>
      <c r="J339">
        <v>557</v>
      </c>
      <c r="K339" s="12">
        <f t="shared" si="17"/>
        <v>0.34909909909909909</v>
      </c>
      <c r="L339" s="12">
        <f t="shared" si="18"/>
        <v>0.41816816816816815</v>
      </c>
      <c r="M339" s="8" t="s">
        <v>578</v>
      </c>
      <c r="N339">
        <v>2001</v>
      </c>
      <c r="O339">
        <v>2001</v>
      </c>
      <c r="P339" t="s">
        <v>579</v>
      </c>
      <c r="Q339">
        <v>1</v>
      </c>
    </row>
    <row r="340" spans="1:17" ht="17.45" customHeight="1">
      <c r="A340" s="24" t="s">
        <v>175</v>
      </c>
      <c r="B340" t="s">
        <v>503</v>
      </c>
      <c r="C340" t="s">
        <v>580</v>
      </c>
      <c r="D340">
        <v>1332</v>
      </c>
      <c r="E340">
        <v>673</v>
      </c>
      <c r="F340">
        <f t="shared" si="19"/>
        <v>0.50525525525525528</v>
      </c>
      <c r="G340" t="s">
        <v>249</v>
      </c>
      <c r="H340" t="s">
        <v>249</v>
      </c>
      <c r="I340">
        <v>630</v>
      </c>
      <c r="J340">
        <v>716</v>
      </c>
      <c r="K340" s="12">
        <f t="shared" si="17"/>
        <v>0.47297297297297297</v>
      </c>
      <c r="L340" s="12">
        <f t="shared" si="18"/>
        <v>0.53753753753753752</v>
      </c>
      <c r="M340" s="8" t="s">
        <v>578</v>
      </c>
      <c r="N340">
        <v>2002</v>
      </c>
      <c r="O340">
        <v>2002</v>
      </c>
      <c r="P340" t="s">
        <v>579</v>
      </c>
      <c r="Q340">
        <v>1</v>
      </c>
    </row>
    <row r="341" spans="1:17" ht="17.45" customHeight="1">
      <c r="A341" s="24" t="s">
        <v>175</v>
      </c>
      <c r="B341" t="s">
        <v>503</v>
      </c>
      <c r="C341" t="s">
        <v>581</v>
      </c>
      <c r="D341">
        <v>1332</v>
      </c>
      <c r="E341">
        <v>861</v>
      </c>
      <c r="F341">
        <f t="shared" si="19"/>
        <v>0.64639639639639634</v>
      </c>
      <c r="G341" t="s">
        <v>249</v>
      </c>
      <c r="H341" t="s">
        <v>249</v>
      </c>
      <c r="I341">
        <v>648</v>
      </c>
      <c r="J341">
        <v>1074</v>
      </c>
      <c r="K341" s="12">
        <f t="shared" si="17"/>
        <v>0.48648648648648651</v>
      </c>
      <c r="L341" s="12">
        <f t="shared" si="18"/>
        <v>0.80630630630630629</v>
      </c>
      <c r="M341" s="8" t="s">
        <v>578</v>
      </c>
      <c r="N341">
        <v>2003</v>
      </c>
      <c r="O341">
        <v>2003</v>
      </c>
      <c r="P341" t="s">
        <v>579</v>
      </c>
      <c r="Q341">
        <v>1</v>
      </c>
    </row>
    <row r="342" spans="1:17" ht="17.45" customHeight="1">
      <c r="A342" s="24" t="s">
        <v>175</v>
      </c>
      <c r="B342" t="s">
        <v>503</v>
      </c>
      <c r="C342" t="s">
        <v>582</v>
      </c>
      <c r="D342">
        <v>1332</v>
      </c>
      <c r="E342">
        <v>1046</v>
      </c>
      <c r="F342">
        <f t="shared" si="19"/>
        <v>0.78528528528528529</v>
      </c>
      <c r="G342" t="s">
        <v>249</v>
      </c>
      <c r="H342" t="s">
        <v>249</v>
      </c>
      <c r="I342">
        <v>681</v>
      </c>
      <c r="J342">
        <v>1412</v>
      </c>
      <c r="K342" s="12">
        <f t="shared" si="17"/>
        <v>0.51126126126126126</v>
      </c>
      <c r="L342" s="12">
        <f t="shared" si="18"/>
        <v>1.06006006006006</v>
      </c>
      <c r="M342" s="8" t="s">
        <v>578</v>
      </c>
      <c r="N342">
        <v>2004</v>
      </c>
      <c r="O342">
        <v>2004</v>
      </c>
      <c r="P342" t="s">
        <v>579</v>
      </c>
      <c r="Q342">
        <v>1</v>
      </c>
    </row>
    <row r="343" spans="1:17" ht="17.45" customHeight="1">
      <c r="A343" s="24" t="s">
        <v>175</v>
      </c>
      <c r="B343" t="s">
        <v>503</v>
      </c>
      <c r="C343" t="s">
        <v>583</v>
      </c>
      <c r="D343">
        <v>1332</v>
      </c>
      <c r="E343">
        <v>908</v>
      </c>
      <c r="F343">
        <f t="shared" si="19"/>
        <v>0.68168168168168164</v>
      </c>
      <c r="G343" t="s">
        <v>249</v>
      </c>
      <c r="H343" t="s">
        <v>249</v>
      </c>
      <c r="I343">
        <v>622</v>
      </c>
      <c r="J343">
        <v>1194</v>
      </c>
      <c r="K343" s="12">
        <f t="shared" si="17"/>
        <v>0.46696696696696699</v>
      </c>
      <c r="L343" s="12">
        <f t="shared" si="18"/>
        <v>0.89639639639639634</v>
      </c>
      <c r="M343" s="8" t="s">
        <v>578</v>
      </c>
      <c r="N343">
        <v>2005</v>
      </c>
      <c r="O343">
        <v>2005</v>
      </c>
      <c r="P343" t="s">
        <v>579</v>
      </c>
      <c r="Q343">
        <v>1</v>
      </c>
    </row>
    <row r="344" spans="1:17" ht="17.45" customHeight="1">
      <c r="A344" s="24" t="s">
        <v>175</v>
      </c>
      <c r="B344" t="s">
        <v>503</v>
      </c>
      <c r="C344" t="s">
        <v>584</v>
      </c>
      <c r="D344">
        <v>1332</v>
      </c>
      <c r="E344">
        <v>345</v>
      </c>
      <c r="F344">
        <f t="shared" si="19"/>
        <v>0.25900900900900903</v>
      </c>
      <c r="G344" t="s">
        <v>249</v>
      </c>
      <c r="H344" t="s">
        <v>249</v>
      </c>
      <c r="I344">
        <v>133</v>
      </c>
      <c r="J344">
        <v>557</v>
      </c>
      <c r="K344" s="12">
        <f t="shared" si="17"/>
        <v>9.9849849849849848E-2</v>
      </c>
      <c r="L344" s="12">
        <f t="shared" si="18"/>
        <v>0.41816816816816815</v>
      </c>
      <c r="M344" s="3" t="s">
        <v>97</v>
      </c>
      <c r="N344">
        <v>2006</v>
      </c>
      <c r="O344">
        <v>2006</v>
      </c>
      <c r="P344" t="s">
        <v>579</v>
      </c>
      <c r="Q344">
        <v>1</v>
      </c>
    </row>
    <row r="345" spans="1:17" ht="17.45" customHeight="1">
      <c r="A345" s="24" t="s">
        <v>175</v>
      </c>
      <c r="B345" t="s">
        <v>503</v>
      </c>
      <c r="C345" t="s">
        <v>585</v>
      </c>
      <c r="D345">
        <v>1332</v>
      </c>
      <c r="E345">
        <v>445</v>
      </c>
      <c r="F345">
        <f t="shared" si="19"/>
        <v>0.33408408408408408</v>
      </c>
      <c r="G345" t="s">
        <v>249</v>
      </c>
      <c r="H345" t="s">
        <v>249</v>
      </c>
      <c r="I345">
        <v>270</v>
      </c>
      <c r="J345">
        <v>619</v>
      </c>
      <c r="K345" s="12">
        <f t="shared" si="17"/>
        <v>0.20270270270270271</v>
      </c>
      <c r="L345" s="12">
        <f t="shared" si="18"/>
        <v>0.46471471471471471</v>
      </c>
      <c r="M345" s="8" t="s">
        <v>578</v>
      </c>
      <c r="N345">
        <v>2007</v>
      </c>
      <c r="O345">
        <v>2007</v>
      </c>
      <c r="P345" t="s">
        <v>579</v>
      </c>
      <c r="Q345">
        <v>1</v>
      </c>
    </row>
    <row r="346" spans="1:17" ht="17.45" customHeight="1">
      <c r="A346" s="24" t="s">
        <v>175</v>
      </c>
      <c r="B346" t="s">
        <v>503</v>
      </c>
      <c r="C346" t="s">
        <v>586</v>
      </c>
      <c r="D346">
        <v>1332</v>
      </c>
      <c r="E346">
        <v>915</v>
      </c>
      <c r="F346">
        <f t="shared" si="19"/>
        <v>0.68693693693693691</v>
      </c>
      <c r="G346" t="s">
        <v>249</v>
      </c>
      <c r="H346" t="s">
        <v>249</v>
      </c>
      <c r="I346">
        <v>806</v>
      </c>
      <c r="J346">
        <v>1024</v>
      </c>
      <c r="K346" s="12">
        <f t="shared" si="17"/>
        <v>0.60510510510510507</v>
      </c>
      <c r="L346" s="12">
        <f t="shared" si="18"/>
        <v>0.76876876876876876</v>
      </c>
      <c r="M346" s="8" t="s">
        <v>578</v>
      </c>
      <c r="N346">
        <v>2008</v>
      </c>
      <c r="O346">
        <v>2008</v>
      </c>
      <c r="P346" t="s">
        <v>579</v>
      </c>
      <c r="Q346">
        <v>1</v>
      </c>
    </row>
    <row r="347" spans="1:17" ht="17.45" customHeight="1">
      <c r="A347" s="24" t="s">
        <v>175</v>
      </c>
      <c r="B347" t="s">
        <v>503</v>
      </c>
      <c r="C347" t="s">
        <v>587</v>
      </c>
      <c r="D347">
        <v>1332</v>
      </c>
      <c r="E347">
        <v>1312</v>
      </c>
      <c r="F347">
        <f t="shared" si="19"/>
        <v>0.98498498498498499</v>
      </c>
      <c r="G347" t="s">
        <v>249</v>
      </c>
      <c r="H347" t="s">
        <v>249</v>
      </c>
      <c r="I347">
        <v>1178</v>
      </c>
      <c r="J347">
        <v>1446</v>
      </c>
      <c r="K347" s="12">
        <f t="shared" si="17"/>
        <v>0.88438438438438438</v>
      </c>
      <c r="L347" s="12">
        <f t="shared" si="18"/>
        <v>1.0855855855855856</v>
      </c>
      <c r="M347" s="8" t="s">
        <v>578</v>
      </c>
      <c r="N347">
        <v>2009</v>
      </c>
      <c r="O347">
        <v>2009</v>
      </c>
      <c r="P347" t="s">
        <v>579</v>
      </c>
      <c r="Q347">
        <v>1</v>
      </c>
    </row>
    <row r="348" spans="1:17" ht="17.45" customHeight="1">
      <c r="A348" s="24" t="s">
        <v>175</v>
      </c>
      <c r="B348" t="s">
        <v>503</v>
      </c>
      <c r="C348" t="s">
        <v>588</v>
      </c>
      <c r="D348">
        <v>1332</v>
      </c>
      <c r="E348">
        <v>2183</v>
      </c>
      <c r="F348">
        <f t="shared" si="19"/>
        <v>1.6388888888888888</v>
      </c>
      <c r="G348" t="s">
        <v>249</v>
      </c>
      <c r="H348" t="s">
        <v>249</v>
      </c>
      <c r="I348">
        <v>2062</v>
      </c>
      <c r="J348">
        <v>2303</v>
      </c>
      <c r="K348" s="12">
        <f t="shared" si="17"/>
        <v>1.5480480480480481</v>
      </c>
      <c r="L348" s="12">
        <f t="shared" si="18"/>
        <v>1.7289789789789789</v>
      </c>
      <c r="M348" s="8" t="s">
        <v>578</v>
      </c>
      <c r="N348">
        <v>2010</v>
      </c>
      <c r="O348">
        <v>2010</v>
      </c>
      <c r="P348" t="s">
        <v>579</v>
      </c>
      <c r="Q348">
        <v>1</v>
      </c>
    </row>
    <row r="349" spans="1:17" ht="17.45" customHeight="1">
      <c r="A349" s="24" t="s">
        <v>175</v>
      </c>
      <c r="B349" t="s">
        <v>503</v>
      </c>
      <c r="C349" t="s">
        <v>589</v>
      </c>
      <c r="D349">
        <v>1332</v>
      </c>
      <c r="E349">
        <v>1341</v>
      </c>
      <c r="F349">
        <f t="shared" si="19"/>
        <v>1.0067567567567568</v>
      </c>
      <c r="G349" t="s">
        <v>249</v>
      </c>
      <c r="H349" t="s">
        <v>249</v>
      </c>
      <c r="I349">
        <v>1193</v>
      </c>
      <c r="J349">
        <v>1490</v>
      </c>
      <c r="K349" s="12">
        <f t="shared" si="17"/>
        <v>0.89564564564564564</v>
      </c>
      <c r="L349" s="12">
        <f t="shared" si="18"/>
        <v>1.1186186186186187</v>
      </c>
      <c r="M349" s="8" t="s">
        <v>578</v>
      </c>
      <c r="N349">
        <v>2011</v>
      </c>
      <c r="O349">
        <v>2011</v>
      </c>
      <c r="P349" t="s">
        <v>579</v>
      </c>
      <c r="Q349">
        <v>1</v>
      </c>
    </row>
    <row r="350" spans="1:17" ht="17.45" customHeight="1">
      <c r="A350" s="24" t="s">
        <v>175</v>
      </c>
      <c r="B350" t="s">
        <v>503</v>
      </c>
      <c r="C350" t="s">
        <v>590</v>
      </c>
      <c r="D350">
        <v>1332</v>
      </c>
      <c r="E350">
        <v>1284</v>
      </c>
      <c r="F350">
        <f t="shared" si="19"/>
        <v>0.963963963963964</v>
      </c>
      <c r="G350" t="s">
        <v>249</v>
      </c>
      <c r="H350" t="s">
        <v>249</v>
      </c>
      <c r="I350">
        <v>1079</v>
      </c>
      <c r="J350">
        <v>1489</v>
      </c>
      <c r="K350" s="12">
        <f t="shared" si="17"/>
        <v>0.81006006006006004</v>
      </c>
      <c r="L350" s="12">
        <f t="shared" si="18"/>
        <v>1.117867867867868</v>
      </c>
      <c r="M350" s="8" t="s">
        <v>578</v>
      </c>
      <c r="N350">
        <v>2012</v>
      </c>
      <c r="O350">
        <v>2012</v>
      </c>
      <c r="P350" t="s">
        <v>579</v>
      </c>
      <c r="Q350">
        <v>1</v>
      </c>
    </row>
    <row r="351" spans="1:17" ht="17.45" customHeight="1">
      <c r="A351" s="24" t="s">
        <v>175</v>
      </c>
      <c r="B351" t="s">
        <v>503</v>
      </c>
      <c r="C351" t="s">
        <v>591</v>
      </c>
      <c r="D351">
        <v>1332</v>
      </c>
      <c r="E351">
        <v>865</v>
      </c>
      <c r="F351">
        <f t="shared" si="19"/>
        <v>0.64939939939939939</v>
      </c>
      <c r="G351" t="s">
        <v>249</v>
      </c>
      <c r="H351" t="s">
        <v>249</v>
      </c>
      <c r="I351">
        <v>747</v>
      </c>
      <c r="J351">
        <v>983</v>
      </c>
      <c r="K351" s="12">
        <f t="shared" si="17"/>
        <v>0.56081081081081086</v>
      </c>
      <c r="L351" s="12">
        <f t="shared" si="18"/>
        <v>0.73798798798798804</v>
      </c>
      <c r="M351" s="8" t="s">
        <v>578</v>
      </c>
      <c r="N351">
        <v>2013</v>
      </c>
      <c r="O351">
        <v>2013</v>
      </c>
      <c r="P351" t="s">
        <v>579</v>
      </c>
      <c r="Q351">
        <v>1</v>
      </c>
    </row>
    <row r="352" spans="1:17" ht="17.45" customHeight="1">
      <c r="A352" s="24" t="s">
        <v>175</v>
      </c>
      <c r="B352" t="s">
        <v>503</v>
      </c>
      <c r="C352" t="s">
        <v>592</v>
      </c>
      <c r="D352">
        <v>1332</v>
      </c>
      <c r="E352">
        <v>2527</v>
      </c>
      <c r="F352">
        <f t="shared" si="19"/>
        <v>1.8971471471471471</v>
      </c>
      <c r="G352" t="s">
        <v>249</v>
      </c>
      <c r="H352" t="s">
        <v>249</v>
      </c>
      <c r="I352">
        <v>2273</v>
      </c>
      <c r="J352">
        <v>2781</v>
      </c>
      <c r="K352" s="12">
        <f t="shared" si="17"/>
        <v>1.7064564564564564</v>
      </c>
      <c r="L352" s="12">
        <f t="shared" si="18"/>
        <v>2.0878378378378377</v>
      </c>
      <c r="M352" s="8" t="s">
        <v>578</v>
      </c>
      <c r="N352">
        <v>2014</v>
      </c>
      <c r="O352">
        <v>2014</v>
      </c>
      <c r="P352" t="s">
        <v>579</v>
      </c>
      <c r="Q352">
        <v>1</v>
      </c>
    </row>
    <row r="353" spans="1:17" ht="17.45" customHeight="1">
      <c r="A353" s="24" t="s">
        <v>175</v>
      </c>
      <c r="B353" t="s">
        <v>503</v>
      </c>
      <c r="C353" t="s">
        <v>593</v>
      </c>
      <c r="D353">
        <v>1332</v>
      </c>
      <c r="E353">
        <v>2471</v>
      </c>
      <c r="F353">
        <f t="shared" si="19"/>
        <v>1.8551051051051051</v>
      </c>
      <c r="G353" t="s">
        <v>249</v>
      </c>
      <c r="H353" t="s">
        <v>249</v>
      </c>
      <c r="I353">
        <v>2277</v>
      </c>
      <c r="J353">
        <v>2666</v>
      </c>
      <c r="K353" s="12">
        <f t="shared" si="17"/>
        <v>1.7094594594594594</v>
      </c>
      <c r="L353" s="12">
        <f t="shared" si="18"/>
        <v>2.0015015015015014</v>
      </c>
      <c r="M353" s="8" t="s">
        <v>578</v>
      </c>
      <c r="N353">
        <v>2015</v>
      </c>
      <c r="O353">
        <v>2015</v>
      </c>
      <c r="P353" t="s">
        <v>579</v>
      </c>
      <c r="Q353">
        <v>1</v>
      </c>
    </row>
    <row r="354" spans="1:17" ht="17.45" customHeight="1">
      <c r="A354" s="24" t="s">
        <v>175</v>
      </c>
      <c r="B354" t="s">
        <v>503</v>
      </c>
      <c r="C354" t="s">
        <v>594</v>
      </c>
      <c r="D354">
        <v>1332</v>
      </c>
      <c r="E354">
        <v>1447</v>
      </c>
      <c r="F354">
        <f t="shared" si="19"/>
        <v>1.0863363363363363</v>
      </c>
      <c r="G354" t="s">
        <v>249</v>
      </c>
      <c r="H354" t="s">
        <v>249</v>
      </c>
      <c r="I354">
        <v>1192</v>
      </c>
      <c r="J354">
        <v>1701</v>
      </c>
      <c r="K354" s="12">
        <f t="shared" si="17"/>
        <v>0.89489489489489493</v>
      </c>
      <c r="L354" s="12">
        <f t="shared" si="18"/>
        <v>1.277027027027027</v>
      </c>
      <c r="M354" s="8" t="s">
        <v>578</v>
      </c>
      <c r="N354">
        <v>2016</v>
      </c>
      <c r="O354">
        <v>2016</v>
      </c>
      <c r="P354" t="s">
        <v>579</v>
      </c>
      <c r="Q354">
        <v>1</v>
      </c>
    </row>
    <row r="355" spans="1:17" ht="17.45" customHeight="1">
      <c r="A355" s="24" t="s">
        <v>175</v>
      </c>
      <c r="B355" t="s">
        <v>503</v>
      </c>
      <c r="C355" t="s">
        <v>595</v>
      </c>
      <c r="D355">
        <v>1332</v>
      </c>
      <c r="E355">
        <v>1027</v>
      </c>
      <c r="F355">
        <f t="shared" si="19"/>
        <v>0.77102102102102099</v>
      </c>
      <c r="G355" t="s">
        <v>249</v>
      </c>
      <c r="H355" t="s">
        <v>249</v>
      </c>
      <c r="I355">
        <v>905</v>
      </c>
      <c r="J355">
        <v>1149</v>
      </c>
      <c r="K355" s="12">
        <f t="shared" si="17"/>
        <v>0.67942942942942941</v>
      </c>
      <c r="L355" s="12">
        <f t="shared" si="18"/>
        <v>0.86261261261261257</v>
      </c>
      <c r="M355" s="8" t="s">
        <v>578</v>
      </c>
      <c r="N355">
        <v>2017</v>
      </c>
      <c r="O355">
        <v>2017</v>
      </c>
      <c r="P355" t="s">
        <v>579</v>
      </c>
      <c r="Q355">
        <v>1</v>
      </c>
    </row>
    <row r="356" spans="1:17" ht="17.45" customHeight="1">
      <c r="A356" s="24" t="s">
        <v>180</v>
      </c>
      <c r="B356" t="s">
        <v>295</v>
      </c>
      <c r="C356" t="s">
        <v>596</v>
      </c>
      <c r="D356" s="9">
        <v>318204</v>
      </c>
      <c r="E356">
        <v>128806</v>
      </c>
      <c r="F356">
        <f t="shared" si="19"/>
        <v>0.40479063745270327</v>
      </c>
      <c r="G356" t="s">
        <v>249</v>
      </c>
      <c r="H356" t="s">
        <v>249</v>
      </c>
      <c r="I356" s="11">
        <v>54934</v>
      </c>
      <c r="J356" s="11">
        <v>507104</v>
      </c>
      <c r="K356" s="12">
        <f t="shared" si="17"/>
        <v>0.17263767897323729</v>
      </c>
      <c r="L356" s="12">
        <f t="shared" si="18"/>
        <v>1.5936443287953639</v>
      </c>
      <c r="M356" t="s">
        <v>597</v>
      </c>
      <c r="N356">
        <v>2006</v>
      </c>
      <c r="O356">
        <v>2006</v>
      </c>
      <c r="P356" s="21">
        <v>38808</v>
      </c>
      <c r="Q356">
        <v>1</v>
      </c>
    </row>
    <row r="357" spans="1:17" ht="17.45" customHeight="1">
      <c r="A357" s="24" t="s">
        <v>184</v>
      </c>
      <c r="B357" t="s">
        <v>295</v>
      </c>
      <c r="C357" t="s">
        <v>598</v>
      </c>
      <c r="D357">
        <v>13808</v>
      </c>
      <c r="E357">
        <v>424</v>
      </c>
      <c r="F357">
        <f t="shared" si="19"/>
        <v>3.0706836616454229E-2</v>
      </c>
      <c r="G357">
        <v>166</v>
      </c>
      <c r="H357" t="s">
        <v>307</v>
      </c>
      <c r="I357">
        <v>131</v>
      </c>
      <c r="J357">
        <v>761</v>
      </c>
      <c r="K357" s="12">
        <f t="shared" si="17"/>
        <v>9.4872537659327922E-3</v>
      </c>
      <c r="L357" s="12">
        <f t="shared" si="18"/>
        <v>5.5112977983777518E-2</v>
      </c>
      <c r="M357" t="s">
        <v>505</v>
      </c>
      <c r="N357">
        <v>2003</v>
      </c>
      <c r="O357">
        <v>2003</v>
      </c>
      <c r="P357" s="21">
        <v>37712</v>
      </c>
      <c r="Q357">
        <v>1</v>
      </c>
    </row>
    <row r="358" spans="1:17" ht="17.45" customHeight="1">
      <c r="A358" s="24" t="s">
        <v>184</v>
      </c>
      <c r="B358" t="s">
        <v>295</v>
      </c>
      <c r="C358" t="s">
        <v>599</v>
      </c>
      <c r="D358">
        <v>15903</v>
      </c>
      <c r="E358">
        <v>2047</v>
      </c>
      <c r="F358">
        <f t="shared" si="19"/>
        <v>0.12871785197761429</v>
      </c>
      <c r="G358">
        <v>846</v>
      </c>
      <c r="H358" t="s">
        <v>307</v>
      </c>
      <c r="I358">
        <v>395</v>
      </c>
      <c r="J358">
        <v>3693</v>
      </c>
      <c r="K358" s="12">
        <f t="shared" si="17"/>
        <v>2.4838080865245551E-2</v>
      </c>
      <c r="L358" s="12">
        <f t="shared" si="18"/>
        <v>0.23222033578570081</v>
      </c>
      <c r="M358" t="s">
        <v>505</v>
      </c>
      <c r="N358">
        <v>2003</v>
      </c>
      <c r="O358">
        <v>2003</v>
      </c>
      <c r="P358" s="21">
        <v>37712</v>
      </c>
      <c r="Q358">
        <v>1</v>
      </c>
    </row>
    <row r="359" spans="1:17" ht="17.45" customHeight="1">
      <c r="A359" s="24" t="s">
        <v>184</v>
      </c>
      <c r="B359" t="s">
        <v>295</v>
      </c>
      <c r="C359" t="s">
        <v>600</v>
      </c>
      <c r="D359">
        <v>18455</v>
      </c>
      <c r="E359">
        <v>509</v>
      </c>
      <c r="F359">
        <f t="shared" si="19"/>
        <v>2.7580601463018151E-2</v>
      </c>
      <c r="G359">
        <v>349</v>
      </c>
      <c r="H359" t="s">
        <v>307</v>
      </c>
      <c r="I359">
        <v>40</v>
      </c>
      <c r="J359">
        <v>1252</v>
      </c>
      <c r="K359" s="12">
        <f t="shared" si="17"/>
        <v>2.167434299647792E-3</v>
      </c>
      <c r="L359" s="12">
        <f t="shared" si="18"/>
        <v>6.7840693578975889E-2</v>
      </c>
      <c r="M359" t="s">
        <v>505</v>
      </c>
      <c r="N359">
        <v>2003</v>
      </c>
      <c r="O359">
        <v>2003</v>
      </c>
      <c r="P359" s="21">
        <v>37712</v>
      </c>
      <c r="Q359">
        <v>1</v>
      </c>
    </row>
    <row r="360" spans="1:17" ht="17.45" customHeight="1">
      <c r="A360" s="24" t="s">
        <v>184</v>
      </c>
      <c r="B360" t="s">
        <v>295</v>
      </c>
      <c r="C360" t="s">
        <v>601</v>
      </c>
      <c r="D360">
        <v>17525</v>
      </c>
      <c r="E360">
        <v>1278</v>
      </c>
      <c r="F360">
        <f t="shared" si="19"/>
        <v>7.292439372325249E-2</v>
      </c>
      <c r="G360">
        <v>509</v>
      </c>
      <c r="H360" t="s">
        <v>307</v>
      </c>
      <c r="I360">
        <v>555</v>
      </c>
      <c r="J360">
        <v>2259</v>
      </c>
      <c r="K360" s="12">
        <f t="shared" si="17"/>
        <v>3.166904422253923E-2</v>
      </c>
      <c r="L360" s="12">
        <f t="shared" si="18"/>
        <v>0.1289015691868759</v>
      </c>
      <c r="M360" t="s">
        <v>505</v>
      </c>
      <c r="N360">
        <v>2003</v>
      </c>
      <c r="O360">
        <v>2003</v>
      </c>
      <c r="P360" s="21">
        <v>37712</v>
      </c>
      <c r="Q360">
        <v>1</v>
      </c>
    </row>
    <row r="361" spans="1:17" ht="17.45" customHeight="1">
      <c r="A361" s="24" t="s">
        <v>184</v>
      </c>
      <c r="B361" t="s">
        <v>295</v>
      </c>
      <c r="C361" t="s">
        <v>602</v>
      </c>
      <c r="D361">
        <v>15310</v>
      </c>
      <c r="E361">
        <v>505</v>
      </c>
      <c r="F361">
        <f t="shared" si="19"/>
        <v>3.2984977139124752E-2</v>
      </c>
      <c r="G361">
        <v>317</v>
      </c>
      <c r="H361" t="s">
        <v>307</v>
      </c>
      <c r="I361">
        <v>3</v>
      </c>
      <c r="J361">
        <v>1050</v>
      </c>
      <c r="K361" s="12">
        <f t="shared" si="17"/>
        <v>1.9595035924232528E-4</v>
      </c>
      <c r="L361" s="12">
        <f t="shared" si="18"/>
        <v>6.8582625734813843E-2</v>
      </c>
      <c r="M361" t="s">
        <v>505</v>
      </c>
      <c r="N361">
        <v>2003</v>
      </c>
      <c r="O361">
        <v>2003</v>
      </c>
      <c r="P361" s="21">
        <v>37712</v>
      </c>
      <c r="Q361">
        <v>1</v>
      </c>
    </row>
    <row r="362" spans="1:17" ht="17.45" customHeight="1">
      <c r="A362" s="24" t="s">
        <v>184</v>
      </c>
      <c r="B362" t="s">
        <v>295</v>
      </c>
      <c r="C362" t="s">
        <v>603</v>
      </c>
      <c r="D362">
        <v>15900</v>
      </c>
      <c r="E362">
        <v>12</v>
      </c>
      <c r="F362">
        <f t="shared" si="19"/>
        <v>7.5471698113207543E-4</v>
      </c>
      <c r="G362">
        <v>9</v>
      </c>
      <c r="H362" t="s">
        <v>307</v>
      </c>
      <c r="I362">
        <v>0</v>
      </c>
      <c r="J362">
        <v>29</v>
      </c>
      <c r="K362" s="12">
        <f t="shared" si="17"/>
        <v>0</v>
      </c>
      <c r="L362" s="12">
        <f t="shared" si="18"/>
        <v>1.8238993710691825E-3</v>
      </c>
      <c r="M362" t="s">
        <v>505</v>
      </c>
      <c r="N362">
        <v>2003</v>
      </c>
      <c r="O362">
        <v>2003</v>
      </c>
      <c r="P362" s="21">
        <v>37712</v>
      </c>
      <c r="Q362">
        <v>1</v>
      </c>
    </row>
    <row r="363" spans="1:17" ht="17.45" customHeight="1">
      <c r="A363" s="24" t="s">
        <v>184</v>
      </c>
      <c r="B363" t="s">
        <v>295</v>
      </c>
      <c r="C363" t="s">
        <v>604</v>
      </c>
      <c r="D363">
        <v>96901</v>
      </c>
      <c r="E363">
        <v>4784</v>
      </c>
      <c r="F363">
        <f t="shared" si="19"/>
        <v>4.936997554204807E-2</v>
      </c>
      <c r="G363" t="s">
        <v>605</v>
      </c>
      <c r="H363" t="s">
        <v>606</v>
      </c>
      <c r="I363" s="11">
        <v>2499</v>
      </c>
      <c r="J363" s="11">
        <v>7111</v>
      </c>
      <c r="K363" s="12">
        <f t="shared" si="17"/>
        <v>2.5789207541717835E-2</v>
      </c>
      <c r="L363" s="12">
        <f t="shared" si="18"/>
        <v>7.3384175601902968E-2</v>
      </c>
      <c r="M363" t="s">
        <v>505</v>
      </c>
      <c r="N363">
        <v>2003</v>
      </c>
      <c r="O363">
        <v>2003</v>
      </c>
      <c r="P363" s="21">
        <v>37712</v>
      </c>
      <c r="Q363">
        <v>1</v>
      </c>
    </row>
    <row r="364" spans="1:17" ht="17.45" customHeight="1">
      <c r="A364" s="24" t="s">
        <v>187</v>
      </c>
      <c r="B364" t="s">
        <v>281</v>
      </c>
      <c r="C364" t="s">
        <v>607</v>
      </c>
      <c r="D364">
        <v>5225</v>
      </c>
      <c r="E364">
        <v>102</v>
      </c>
      <c r="F364">
        <f t="shared" si="19"/>
        <v>1.9521531100478468E-2</v>
      </c>
      <c r="G364">
        <v>0.61</v>
      </c>
      <c r="H364" t="s">
        <v>232</v>
      </c>
      <c r="I364">
        <v>32</v>
      </c>
      <c r="J364">
        <v>329</v>
      </c>
      <c r="K364" s="12">
        <f t="shared" si="17"/>
        <v>6.1244019138755983E-3</v>
      </c>
      <c r="L364" s="12">
        <f t="shared" si="18"/>
        <v>6.296650717703349E-2</v>
      </c>
      <c r="M364" t="s">
        <v>505</v>
      </c>
      <c r="N364">
        <v>2009</v>
      </c>
      <c r="O364">
        <v>2009</v>
      </c>
      <c r="P364" s="23">
        <v>40044</v>
      </c>
      <c r="Q364">
        <v>1</v>
      </c>
    </row>
    <row r="365" spans="1:17" ht="17.45" customHeight="1">
      <c r="A365" s="24" t="s">
        <v>191</v>
      </c>
      <c r="B365" t="s">
        <v>295</v>
      </c>
      <c r="C365" t="s">
        <v>608</v>
      </c>
      <c r="D365">
        <v>5225</v>
      </c>
      <c r="E365">
        <v>1429</v>
      </c>
      <c r="F365">
        <f t="shared" si="19"/>
        <v>0.27349282296650718</v>
      </c>
      <c r="G365" t="s">
        <v>249</v>
      </c>
      <c r="H365" t="s">
        <v>249</v>
      </c>
      <c r="I365">
        <v>705</v>
      </c>
      <c r="J365">
        <v>2896</v>
      </c>
      <c r="K365" s="12">
        <f t="shared" si="17"/>
        <v>0.13492822966507176</v>
      </c>
      <c r="L365" s="12">
        <f t="shared" si="18"/>
        <v>0.55425837320574167</v>
      </c>
      <c r="M365" t="s">
        <v>505</v>
      </c>
      <c r="N365">
        <v>2009</v>
      </c>
      <c r="O365">
        <v>2009</v>
      </c>
      <c r="P365" s="23">
        <v>40044</v>
      </c>
      <c r="Q365">
        <v>1</v>
      </c>
    </row>
    <row r="366" spans="1:17" ht="17.45" customHeight="1">
      <c r="A366" s="24" t="s">
        <v>195</v>
      </c>
      <c r="B366" t="s">
        <v>609</v>
      </c>
      <c r="C366" t="s">
        <v>610</v>
      </c>
      <c r="D366">
        <v>950000</v>
      </c>
      <c r="E366">
        <v>25</v>
      </c>
      <c r="F366">
        <f>0.26/10000</f>
        <v>2.6000000000000002E-5</v>
      </c>
      <c r="G366" t="s">
        <v>249</v>
      </c>
      <c r="H366" t="s">
        <v>249</v>
      </c>
      <c r="I366">
        <v>13</v>
      </c>
      <c r="J366">
        <v>47</v>
      </c>
      <c r="K366">
        <f>0.136/10000</f>
        <v>1.36E-5</v>
      </c>
      <c r="L366">
        <f>0.499/10000</f>
        <v>4.99E-5</v>
      </c>
      <c r="M366" t="s">
        <v>611</v>
      </c>
      <c r="N366">
        <v>2001</v>
      </c>
      <c r="O366">
        <v>2006</v>
      </c>
      <c r="P366" t="s">
        <v>612</v>
      </c>
      <c r="Q366">
        <v>1</v>
      </c>
    </row>
    <row r="367" spans="1:17" ht="17.45" customHeight="1">
      <c r="A367" t="s">
        <v>201</v>
      </c>
      <c r="B367" t="s">
        <v>609</v>
      </c>
      <c r="C367" t="s">
        <v>613</v>
      </c>
      <c r="D367" s="9">
        <v>162789</v>
      </c>
      <c r="E367">
        <v>79</v>
      </c>
      <c r="F367">
        <f t="shared" ref="F367:F398" si="20">E367/D367</f>
        <v>4.8529077517522683E-4</v>
      </c>
      <c r="G367">
        <v>1.1339999999999999</v>
      </c>
      <c r="H367" t="s">
        <v>232</v>
      </c>
      <c r="I367">
        <v>5</v>
      </c>
      <c r="J367">
        <v>1197</v>
      </c>
      <c r="K367" s="12">
        <f>I367/D367</f>
        <v>3.0714606023748536E-5</v>
      </c>
      <c r="L367" s="12">
        <f>J367/D367</f>
        <v>7.3530766820853986E-3</v>
      </c>
      <c r="M367" t="s">
        <v>48</v>
      </c>
      <c r="N367">
        <v>2011</v>
      </c>
      <c r="O367">
        <v>2011</v>
      </c>
      <c r="P367" t="s">
        <v>614</v>
      </c>
      <c r="Q367">
        <v>1</v>
      </c>
    </row>
    <row r="368" spans="1:17" ht="17.45" customHeight="1">
      <c r="A368" s="24" t="s">
        <v>201</v>
      </c>
      <c r="B368" t="s">
        <v>609</v>
      </c>
      <c r="C368" t="s">
        <v>615</v>
      </c>
      <c r="D368" s="9">
        <v>208660</v>
      </c>
      <c r="E368">
        <v>1068</v>
      </c>
      <c r="F368">
        <f t="shared" si="20"/>
        <v>5.1183743889581133E-3</v>
      </c>
      <c r="G368">
        <v>0.45400000000000001</v>
      </c>
      <c r="H368" t="s">
        <v>232</v>
      </c>
      <c r="I368">
        <v>396</v>
      </c>
      <c r="J368">
        <v>2882</v>
      </c>
      <c r="K368" s="12">
        <f>I368/D368</f>
        <v>1.8978242116361546E-3</v>
      </c>
      <c r="L368" s="12">
        <f>J368/D368</f>
        <v>1.3811942873574236E-2</v>
      </c>
      <c r="M368" t="s">
        <v>48</v>
      </c>
      <c r="N368">
        <v>2012</v>
      </c>
      <c r="O368">
        <v>2012</v>
      </c>
      <c r="P368" t="s">
        <v>616</v>
      </c>
      <c r="Q368">
        <v>1</v>
      </c>
    </row>
    <row r="369" spans="1:17" ht="17.45" customHeight="1">
      <c r="A369" s="24" t="s">
        <v>201</v>
      </c>
      <c r="B369" t="s">
        <v>609</v>
      </c>
      <c r="C369" t="s">
        <v>617</v>
      </c>
      <c r="D369" s="9">
        <v>499235</v>
      </c>
      <c r="E369">
        <v>416</v>
      </c>
      <c r="F369">
        <f t="shared" si="20"/>
        <v>8.332749106132383E-4</v>
      </c>
      <c r="G369">
        <v>0.65300000000000002</v>
      </c>
      <c r="H369" t="s">
        <v>232</v>
      </c>
      <c r="I369">
        <v>123</v>
      </c>
      <c r="J369">
        <v>1402</v>
      </c>
      <c r="K369" s="12">
        <f>I369/D369</f>
        <v>2.4637695674381804E-4</v>
      </c>
      <c r="L369" s="12">
        <f>J369/D369</f>
        <v>2.808296693941731E-3</v>
      </c>
      <c r="M369" t="s">
        <v>48</v>
      </c>
      <c r="N369">
        <v>2008</v>
      </c>
      <c r="O369">
        <v>2008</v>
      </c>
      <c r="P369" t="s">
        <v>618</v>
      </c>
      <c r="Q369">
        <v>1</v>
      </c>
    </row>
    <row r="370" spans="1:17" ht="17.45" customHeight="1">
      <c r="A370" s="24" t="s">
        <v>205</v>
      </c>
      <c r="B370" t="s">
        <v>291</v>
      </c>
      <c r="C370" t="s">
        <v>619</v>
      </c>
      <c r="D370">
        <v>5615</v>
      </c>
      <c r="E370">
        <v>471</v>
      </c>
      <c r="F370">
        <f t="shared" si="20"/>
        <v>8.3882457702582375E-2</v>
      </c>
      <c r="G370">
        <v>0.78</v>
      </c>
      <c r="H370" t="s">
        <v>232</v>
      </c>
      <c r="I370" t="s">
        <v>249</v>
      </c>
      <c r="J370" t="s">
        <v>249</v>
      </c>
      <c r="K370" t="s">
        <v>249</v>
      </c>
      <c r="L370" t="s">
        <v>249</v>
      </c>
      <c r="M370" t="s">
        <v>48</v>
      </c>
      <c r="N370">
        <v>2010</v>
      </c>
      <c r="O370">
        <v>2010</v>
      </c>
      <c r="P370" t="s">
        <v>620</v>
      </c>
      <c r="Q370">
        <v>1</v>
      </c>
    </row>
    <row r="371" spans="1:17" ht="17.45" customHeight="1">
      <c r="A371" s="24" t="s">
        <v>205</v>
      </c>
      <c r="B371" t="s">
        <v>291</v>
      </c>
      <c r="C371" t="s">
        <v>621</v>
      </c>
      <c r="D371">
        <v>8294</v>
      </c>
      <c r="E371">
        <v>860</v>
      </c>
      <c r="F371">
        <f t="shared" si="20"/>
        <v>0.10368941403424162</v>
      </c>
      <c r="G371">
        <v>0.55000000000000004</v>
      </c>
      <c r="H371" t="s">
        <v>232</v>
      </c>
      <c r="I371" t="s">
        <v>249</v>
      </c>
      <c r="J371" t="s">
        <v>249</v>
      </c>
      <c r="K371" t="s">
        <v>249</v>
      </c>
      <c r="L371" t="s">
        <v>249</v>
      </c>
      <c r="M371" t="s">
        <v>48</v>
      </c>
      <c r="N371">
        <v>2010</v>
      </c>
      <c r="O371">
        <v>2010</v>
      </c>
      <c r="P371" t="s">
        <v>620</v>
      </c>
      <c r="Q371">
        <v>1</v>
      </c>
    </row>
    <row r="372" spans="1:17" ht="17.45" customHeight="1">
      <c r="A372" s="24" t="s">
        <v>205</v>
      </c>
      <c r="B372" t="s">
        <v>291</v>
      </c>
      <c r="C372" t="s">
        <v>622</v>
      </c>
      <c r="D372">
        <v>7458</v>
      </c>
      <c r="E372">
        <v>844</v>
      </c>
      <c r="F372">
        <f t="shared" si="20"/>
        <v>0.11316706891928131</v>
      </c>
      <c r="G372">
        <v>0.52</v>
      </c>
      <c r="H372" t="s">
        <v>232</v>
      </c>
      <c r="I372" t="s">
        <v>249</v>
      </c>
      <c r="J372" t="s">
        <v>249</v>
      </c>
      <c r="K372" t="s">
        <v>249</v>
      </c>
      <c r="L372" t="s">
        <v>249</v>
      </c>
      <c r="M372" t="s">
        <v>48</v>
      </c>
      <c r="N372">
        <v>2010</v>
      </c>
      <c r="O372">
        <v>2010</v>
      </c>
      <c r="P372" t="s">
        <v>620</v>
      </c>
      <c r="Q372">
        <v>1</v>
      </c>
    </row>
    <row r="373" spans="1:17" ht="17.45" customHeight="1">
      <c r="A373" s="24" t="s">
        <v>205</v>
      </c>
      <c r="B373" t="s">
        <v>291</v>
      </c>
      <c r="C373" t="s">
        <v>623</v>
      </c>
      <c r="D373">
        <v>4233</v>
      </c>
      <c r="E373">
        <v>1265</v>
      </c>
      <c r="F373">
        <f t="shared" si="20"/>
        <v>0.29884242853768012</v>
      </c>
      <c r="G373">
        <v>0.37</v>
      </c>
      <c r="H373" t="s">
        <v>232</v>
      </c>
      <c r="I373" t="s">
        <v>249</v>
      </c>
      <c r="J373" t="s">
        <v>249</v>
      </c>
      <c r="K373" t="s">
        <v>249</v>
      </c>
      <c r="L373" t="s">
        <v>249</v>
      </c>
      <c r="M373" t="s">
        <v>48</v>
      </c>
      <c r="N373">
        <v>2010</v>
      </c>
      <c r="O373">
        <v>2010</v>
      </c>
      <c r="P373" t="s">
        <v>620</v>
      </c>
      <c r="Q373">
        <v>1</v>
      </c>
    </row>
    <row r="374" spans="1:17" ht="17.45" customHeight="1">
      <c r="A374" s="24" t="s">
        <v>205</v>
      </c>
      <c r="B374" t="s">
        <v>291</v>
      </c>
      <c r="C374" t="s">
        <v>624</v>
      </c>
      <c r="D374">
        <v>3283</v>
      </c>
      <c r="E374">
        <v>389</v>
      </c>
      <c r="F374">
        <f t="shared" si="20"/>
        <v>0.1184891867194639</v>
      </c>
      <c r="G374">
        <v>0.45</v>
      </c>
      <c r="H374" t="s">
        <v>232</v>
      </c>
      <c r="I374" t="s">
        <v>249</v>
      </c>
      <c r="J374" t="s">
        <v>249</v>
      </c>
      <c r="K374" t="s">
        <v>249</v>
      </c>
      <c r="L374" t="s">
        <v>249</v>
      </c>
      <c r="M374" t="s">
        <v>48</v>
      </c>
      <c r="N374">
        <v>2010</v>
      </c>
      <c r="O374">
        <v>2010</v>
      </c>
      <c r="P374" t="s">
        <v>620</v>
      </c>
      <c r="Q374">
        <v>1</v>
      </c>
    </row>
    <row r="375" spans="1:17" ht="17.45" customHeight="1">
      <c r="A375" s="24" t="s">
        <v>205</v>
      </c>
      <c r="B375" t="s">
        <v>291</v>
      </c>
      <c r="C375" t="s">
        <v>625</v>
      </c>
      <c r="D375">
        <v>3954</v>
      </c>
      <c r="E375">
        <v>183</v>
      </c>
      <c r="F375">
        <f t="shared" si="20"/>
        <v>4.6282245827010619E-2</v>
      </c>
      <c r="G375">
        <v>0.72</v>
      </c>
      <c r="H375" t="s">
        <v>232</v>
      </c>
      <c r="I375" t="s">
        <v>249</v>
      </c>
      <c r="J375" t="s">
        <v>249</v>
      </c>
      <c r="K375" t="s">
        <v>249</v>
      </c>
      <c r="L375" t="s">
        <v>249</v>
      </c>
      <c r="M375" t="s">
        <v>48</v>
      </c>
      <c r="N375">
        <v>2010</v>
      </c>
      <c r="O375">
        <v>2010</v>
      </c>
      <c r="P375" t="s">
        <v>620</v>
      </c>
      <c r="Q375">
        <v>1</v>
      </c>
    </row>
    <row r="376" spans="1:17" ht="17.45" customHeight="1">
      <c r="A376" s="24" t="s">
        <v>205</v>
      </c>
      <c r="B376" t="s">
        <v>291</v>
      </c>
      <c r="C376" t="s">
        <v>626</v>
      </c>
      <c r="D376">
        <v>3375</v>
      </c>
      <c r="E376">
        <v>740</v>
      </c>
      <c r="F376">
        <f t="shared" si="20"/>
        <v>0.21925925925925926</v>
      </c>
      <c r="G376">
        <v>0.39</v>
      </c>
      <c r="H376" t="s">
        <v>232</v>
      </c>
      <c r="I376" t="s">
        <v>249</v>
      </c>
      <c r="J376" t="s">
        <v>249</v>
      </c>
      <c r="K376" t="s">
        <v>249</v>
      </c>
      <c r="L376" t="s">
        <v>249</v>
      </c>
      <c r="M376" t="s">
        <v>48</v>
      </c>
      <c r="N376">
        <v>2010</v>
      </c>
      <c r="O376">
        <v>2010</v>
      </c>
      <c r="P376" t="s">
        <v>620</v>
      </c>
      <c r="Q376">
        <v>1</v>
      </c>
    </row>
    <row r="377" spans="1:17" ht="17.45" customHeight="1">
      <c r="A377" s="24" t="s">
        <v>205</v>
      </c>
      <c r="B377" t="s">
        <v>291</v>
      </c>
      <c r="C377" t="s">
        <v>627</v>
      </c>
      <c r="D377">
        <v>4684</v>
      </c>
      <c r="E377">
        <v>516</v>
      </c>
      <c r="F377">
        <f t="shared" si="20"/>
        <v>0.11016225448334757</v>
      </c>
      <c r="G377">
        <v>0.97</v>
      </c>
      <c r="H377" t="s">
        <v>232</v>
      </c>
      <c r="I377" t="s">
        <v>249</v>
      </c>
      <c r="J377" t="s">
        <v>249</v>
      </c>
      <c r="K377" t="s">
        <v>249</v>
      </c>
      <c r="L377" t="s">
        <v>249</v>
      </c>
      <c r="M377" t="s">
        <v>48</v>
      </c>
      <c r="N377">
        <v>2010</v>
      </c>
      <c r="O377">
        <v>2010</v>
      </c>
      <c r="P377" t="s">
        <v>620</v>
      </c>
      <c r="Q377">
        <v>1</v>
      </c>
    </row>
    <row r="378" spans="1:17" ht="17.45" customHeight="1">
      <c r="A378" s="24" t="s">
        <v>205</v>
      </c>
      <c r="B378" t="s">
        <v>291</v>
      </c>
      <c r="C378" t="s">
        <v>628</v>
      </c>
      <c r="D378">
        <v>6772</v>
      </c>
      <c r="E378">
        <v>0</v>
      </c>
      <c r="F378">
        <f t="shared" si="20"/>
        <v>0</v>
      </c>
      <c r="G378" t="s">
        <v>249</v>
      </c>
      <c r="H378" t="s">
        <v>232</v>
      </c>
      <c r="I378" t="s">
        <v>249</v>
      </c>
      <c r="J378" t="s">
        <v>249</v>
      </c>
      <c r="K378" t="s">
        <v>249</v>
      </c>
      <c r="L378" t="s">
        <v>249</v>
      </c>
      <c r="M378" t="s">
        <v>48</v>
      </c>
      <c r="N378">
        <v>2010</v>
      </c>
      <c r="O378">
        <v>2010</v>
      </c>
      <c r="P378" t="s">
        <v>620</v>
      </c>
      <c r="Q378">
        <v>1</v>
      </c>
    </row>
    <row r="379" spans="1:17" ht="17.45" customHeight="1">
      <c r="A379" s="24" t="s">
        <v>205</v>
      </c>
      <c r="B379" t="s">
        <v>291</v>
      </c>
      <c r="C379" t="s">
        <v>629</v>
      </c>
      <c r="D379">
        <v>3557</v>
      </c>
      <c r="E379">
        <v>748</v>
      </c>
      <c r="F379">
        <f t="shared" si="20"/>
        <v>0.21028956986224345</v>
      </c>
      <c r="G379">
        <v>0.35</v>
      </c>
      <c r="H379" t="s">
        <v>232</v>
      </c>
      <c r="I379" t="s">
        <v>249</v>
      </c>
      <c r="J379" t="s">
        <v>249</v>
      </c>
      <c r="K379" t="s">
        <v>249</v>
      </c>
      <c r="L379" t="s">
        <v>249</v>
      </c>
      <c r="M379" t="s">
        <v>48</v>
      </c>
      <c r="N379">
        <v>2010</v>
      </c>
      <c r="O379">
        <v>2010</v>
      </c>
      <c r="P379" t="s">
        <v>620</v>
      </c>
      <c r="Q379">
        <v>1</v>
      </c>
    </row>
    <row r="380" spans="1:17" ht="17.45" customHeight="1">
      <c r="A380" s="24" t="s">
        <v>205</v>
      </c>
      <c r="B380" t="s">
        <v>291</v>
      </c>
      <c r="C380" t="s">
        <v>630</v>
      </c>
      <c r="D380">
        <v>51223</v>
      </c>
      <c r="E380">
        <v>6016</v>
      </c>
      <c r="F380">
        <f t="shared" si="20"/>
        <v>0.1174472404974328</v>
      </c>
      <c r="G380">
        <v>0.31</v>
      </c>
      <c r="H380" t="s">
        <v>232</v>
      </c>
      <c r="I380" t="s">
        <v>249</v>
      </c>
      <c r="J380" t="s">
        <v>249</v>
      </c>
      <c r="K380" t="s">
        <v>249</v>
      </c>
      <c r="L380" t="s">
        <v>249</v>
      </c>
      <c r="M380" t="s">
        <v>48</v>
      </c>
      <c r="N380">
        <v>2010</v>
      </c>
      <c r="O380">
        <v>2010</v>
      </c>
      <c r="P380" t="s">
        <v>620</v>
      </c>
      <c r="Q380">
        <v>1</v>
      </c>
    </row>
    <row r="381" spans="1:17" ht="17.45" customHeight="1">
      <c r="A381" s="24" t="s">
        <v>205</v>
      </c>
      <c r="B381" t="s">
        <v>294</v>
      </c>
      <c r="C381" t="s">
        <v>631</v>
      </c>
      <c r="D381">
        <v>5773</v>
      </c>
      <c r="E381">
        <v>64</v>
      </c>
      <c r="F381">
        <f t="shared" si="20"/>
        <v>1.1086090420924996E-2</v>
      </c>
      <c r="G381">
        <v>1.03</v>
      </c>
      <c r="H381" t="s">
        <v>232</v>
      </c>
      <c r="I381" t="s">
        <v>249</v>
      </c>
      <c r="J381" t="s">
        <v>249</v>
      </c>
      <c r="K381" t="s">
        <v>249</v>
      </c>
      <c r="L381" t="s">
        <v>249</v>
      </c>
      <c r="M381" t="s">
        <v>48</v>
      </c>
      <c r="N381">
        <v>2009</v>
      </c>
      <c r="O381">
        <v>2009</v>
      </c>
      <c r="P381" t="s">
        <v>632</v>
      </c>
      <c r="Q381">
        <v>1</v>
      </c>
    </row>
    <row r="382" spans="1:17" ht="17.45" customHeight="1">
      <c r="A382" s="24" t="s">
        <v>205</v>
      </c>
      <c r="B382" t="s">
        <v>294</v>
      </c>
      <c r="C382" t="s">
        <v>619</v>
      </c>
      <c r="D382">
        <v>5615</v>
      </c>
      <c r="E382">
        <v>894</v>
      </c>
      <c r="F382">
        <f t="shared" si="20"/>
        <v>0.15921638468388247</v>
      </c>
      <c r="G382">
        <v>0.34</v>
      </c>
      <c r="H382" t="s">
        <v>232</v>
      </c>
      <c r="I382" t="s">
        <v>249</v>
      </c>
      <c r="J382" t="s">
        <v>249</v>
      </c>
      <c r="K382" t="s">
        <v>249</v>
      </c>
      <c r="L382" t="s">
        <v>249</v>
      </c>
      <c r="M382" t="s">
        <v>48</v>
      </c>
      <c r="N382">
        <v>2010</v>
      </c>
      <c r="O382">
        <v>2010</v>
      </c>
      <c r="P382" t="s">
        <v>620</v>
      </c>
      <c r="Q382">
        <v>1</v>
      </c>
    </row>
    <row r="383" spans="1:17" ht="17.45" customHeight="1">
      <c r="A383" s="24" t="s">
        <v>205</v>
      </c>
      <c r="B383" t="s">
        <v>294</v>
      </c>
      <c r="C383" t="s">
        <v>633</v>
      </c>
      <c r="D383">
        <v>9418</v>
      </c>
      <c r="E383">
        <v>0</v>
      </c>
      <c r="F383">
        <f t="shared" si="20"/>
        <v>0</v>
      </c>
      <c r="G383" t="s">
        <v>249</v>
      </c>
      <c r="H383" t="s">
        <v>232</v>
      </c>
      <c r="I383" t="s">
        <v>249</v>
      </c>
      <c r="J383" t="s">
        <v>249</v>
      </c>
      <c r="K383" t="s">
        <v>249</v>
      </c>
      <c r="L383" t="s">
        <v>249</v>
      </c>
      <c r="M383" t="s">
        <v>48</v>
      </c>
      <c r="N383">
        <v>2009</v>
      </c>
      <c r="O383">
        <v>2009</v>
      </c>
      <c r="P383" t="s">
        <v>632</v>
      </c>
      <c r="Q383">
        <v>1</v>
      </c>
    </row>
    <row r="384" spans="1:17" ht="17.45" customHeight="1">
      <c r="A384" s="24" t="s">
        <v>205</v>
      </c>
      <c r="B384" t="s">
        <v>294</v>
      </c>
      <c r="C384" t="s">
        <v>621</v>
      </c>
      <c r="D384">
        <v>8294</v>
      </c>
      <c r="E384">
        <v>0</v>
      </c>
      <c r="F384">
        <f t="shared" si="20"/>
        <v>0</v>
      </c>
      <c r="G384" t="s">
        <v>249</v>
      </c>
      <c r="H384" t="s">
        <v>232</v>
      </c>
      <c r="I384" t="s">
        <v>249</v>
      </c>
      <c r="J384" t="s">
        <v>249</v>
      </c>
      <c r="K384" t="s">
        <v>249</v>
      </c>
      <c r="L384" t="s">
        <v>249</v>
      </c>
      <c r="M384" t="s">
        <v>48</v>
      </c>
      <c r="N384">
        <v>2010</v>
      </c>
      <c r="O384">
        <v>2010</v>
      </c>
      <c r="P384" t="s">
        <v>620</v>
      </c>
      <c r="Q384">
        <v>1</v>
      </c>
    </row>
    <row r="385" spans="1:17" ht="17.45" customHeight="1">
      <c r="A385" s="24" t="s">
        <v>205</v>
      </c>
      <c r="B385" t="s">
        <v>294</v>
      </c>
      <c r="C385" t="s">
        <v>634</v>
      </c>
      <c r="D385">
        <v>7458</v>
      </c>
      <c r="E385">
        <v>222</v>
      </c>
      <c r="F385">
        <f t="shared" si="20"/>
        <v>2.9766693483507644E-2</v>
      </c>
      <c r="G385">
        <v>0.95</v>
      </c>
      <c r="H385" t="s">
        <v>232</v>
      </c>
      <c r="I385" t="s">
        <v>249</v>
      </c>
      <c r="J385" t="s">
        <v>249</v>
      </c>
      <c r="K385" t="s">
        <v>249</v>
      </c>
      <c r="L385" t="s">
        <v>249</v>
      </c>
      <c r="M385" t="s">
        <v>48</v>
      </c>
      <c r="N385">
        <v>2009</v>
      </c>
      <c r="O385">
        <v>2009</v>
      </c>
      <c r="P385" t="s">
        <v>632</v>
      </c>
      <c r="Q385">
        <v>1</v>
      </c>
    </row>
    <row r="386" spans="1:17" ht="17.45" customHeight="1">
      <c r="A386" s="24" t="s">
        <v>205</v>
      </c>
      <c r="B386" t="s">
        <v>294</v>
      </c>
      <c r="C386" t="s">
        <v>622</v>
      </c>
      <c r="D386">
        <v>7458</v>
      </c>
      <c r="E386">
        <v>412</v>
      </c>
      <c r="F386">
        <f t="shared" si="20"/>
        <v>5.5242692410834002E-2</v>
      </c>
      <c r="G386">
        <v>0.77</v>
      </c>
      <c r="H386" t="s">
        <v>232</v>
      </c>
      <c r="I386" t="s">
        <v>249</v>
      </c>
      <c r="J386" t="s">
        <v>249</v>
      </c>
      <c r="K386" t="s">
        <v>249</v>
      </c>
      <c r="L386" t="s">
        <v>249</v>
      </c>
      <c r="M386" t="s">
        <v>48</v>
      </c>
      <c r="N386">
        <v>2010</v>
      </c>
      <c r="O386">
        <v>2010</v>
      </c>
      <c r="P386" t="s">
        <v>620</v>
      </c>
      <c r="Q386">
        <v>1</v>
      </c>
    </row>
    <row r="387" spans="1:17" ht="17.45" customHeight="1">
      <c r="A387" s="24" t="s">
        <v>205</v>
      </c>
      <c r="B387" t="s">
        <v>294</v>
      </c>
      <c r="C387" t="s">
        <v>635</v>
      </c>
      <c r="D387">
        <v>4161</v>
      </c>
      <c r="E387">
        <v>848</v>
      </c>
      <c r="F387">
        <f t="shared" si="20"/>
        <v>0.20379716414323479</v>
      </c>
      <c r="G387">
        <v>0.57999999999999996</v>
      </c>
      <c r="H387" t="s">
        <v>232</v>
      </c>
      <c r="I387" t="s">
        <v>249</v>
      </c>
      <c r="J387" t="s">
        <v>249</v>
      </c>
      <c r="K387" t="s">
        <v>249</v>
      </c>
      <c r="L387" t="s">
        <v>249</v>
      </c>
      <c r="M387" t="s">
        <v>48</v>
      </c>
      <c r="N387">
        <v>2009</v>
      </c>
      <c r="O387">
        <v>2009</v>
      </c>
      <c r="P387" t="s">
        <v>632</v>
      </c>
      <c r="Q387">
        <v>1</v>
      </c>
    </row>
    <row r="388" spans="1:17" ht="17.45" customHeight="1">
      <c r="A388" s="24" t="s">
        <v>205</v>
      </c>
      <c r="B388" t="s">
        <v>294</v>
      </c>
      <c r="C388" t="s">
        <v>623</v>
      </c>
      <c r="D388">
        <v>4233</v>
      </c>
      <c r="E388">
        <v>276</v>
      </c>
      <c r="F388">
        <f t="shared" si="20"/>
        <v>6.5201984408221114E-2</v>
      </c>
      <c r="G388">
        <v>0.59</v>
      </c>
      <c r="H388" t="s">
        <v>232</v>
      </c>
      <c r="I388" t="s">
        <v>249</v>
      </c>
      <c r="J388" t="s">
        <v>249</v>
      </c>
      <c r="K388" t="s">
        <v>249</v>
      </c>
      <c r="L388" t="s">
        <v>249</v>
      </c>
      <c r="M388" t="s">
        <v>48</v>
      </c>
      <c r="N388">
        <v>2010</v>
      </c>
      <c r="O388">
        <v>2010</v>
      </c>
      <c r="P388" t="s">
        <v>620</v>
      </c>
      <c r="Q388">
        <v>1</v>
      </c>
    </row>
    <row r="389" spans="1:17" ht="17.45" customHeight="1">
      <c r="A389" s="24" t="s">
        <v>205</v>
      </c>
      <c r="B389" t="s">
        <v>294</v>
      </c>
      <c r="C389" t="s">
        <v>636</v>
      </c>
      <c r="D389">
        <v>3271</v>
      </c>
      <c r="E389">
        <v>0</v>
      </c>
      <c r="F389">
        <f t="shared" si="20"/>
        <v>0</v>
      </c>
      <c r="G389" t="s">
        <v>249</v>
      </c>
      <c r="H389" t="s">
        <v>232</v>
      </c>
      <c r="I389" t="s">
        <v>249</v>
      </c>
      <c r="J389" t="s">
        <v>249</v>
      </c>
      <c r="K389" t="s">
        <v>249</v>
      </c>
      <c r="L389" t="s">
        <v>249</v>
      </c>
      <c r="M389" t="s">
        <v>48</v>
      </c>
      <c r="N389">
        <v>2009</v>
      </c>
      <c r="O389">
        <v>2009</v>
      </c>
      <c r="P389" t="s">
        <v>632</v>
      </c>
      <c r="Q389">
        <v>1</v>
      </c>
    </row>
    <row r="390" spans="1:17" ht="17.45" customHeight="1">
      <c r="A390" s="24" t="s">
        <v>205</v>
      </c>
      <c r="B390" t="s">
        <v>294</v>
      </c>
      <c r="C390" t="s">
        <v>624</v>
      </c>
      <c r="D390">
        <v>3283</v>
      </c>
      <c r="E390">
        <v>220</v>
      </c>
      <c r="F390">
        <f t="shared" si="20"/>
        <v>6.701187937861712E-2</v>
      </c>
      <c r="G390">
        <v>0.69</v>
      </c>
      <c r="H390" t="s">
        <v>232</v>
      </c>
      <c r="I390" t="s">
        <v>249</v>
      </c>
      <c r="J390" t="s">
        <v>249</v>
      </c>
      <c r="K390" t="s">
        <v>249</v>
      </c>
      <c r="L390" t="s">
        <v>249</v>
      </c>
      <c r="M390" t="s">
        <v>48</v>
      </c>
      <c r="N390">
        <v>2010</v>
      </c>
      <c r="O390">
        <v>2010</v>
      </c>
      <c r="P390" t="s">
        <v>620</v>
      </c>
      <c r="Q390">
        <v>1</v>
      </c>
    </row>
    <row r="391" spans="1:17" ht="17.45" customHeight="1">
      <c r="A391" s="24" t="s">
        <v>205</v>
      </c>
      <c r="B391" t="s">
        <v>294</v>
      </c>
      <c r="C391" t="s">
        <v>637</v>
      </c>
      <c r="D391">
        <v>3970</v>
      </c>
      <c r="E391">
        <v>370</v>
      </c>
      <c r="F391">
        <f t="shared" si="20"/>
        <v>9.3198992443324941E-2</v>
      </c>
      <c r="G391">
        <v>0.52</v>
      </c>
      <c r="H391" t="s">
        <v>232</v>
      </c>
      <c r="I391" t="s">
        <v>249</v>
      </c>
      <c r="J391" t="s">
        <v>249</v>
      </c>
      <c r="K391" t="s">
        <v>249</v>
      </c>
      <c r="L391" t="s">
        <v>249</v>
      </c>
      <c r="M391" t="s">
        <v>48</v>
      </c>
      <c r="N391">
        <v>2009</v>
      </c>
      <c r="O391">
        <v>2009</v>
      </c>
      <c r="P391" t="s">
        <v>632</v>
      </c>
      <c r="Q391">
        <v>1</v>
      </c>
    </row>
    <row r="392" spans="1:17" ht="17.45" customHeight="1">
      <c r="A392" s="24" t="s">
        <v>205</v>
      </c>
      <c r="B392" t="s">
        <v>294</v>
      </c>
      <c r="C392" t="s">
        <v>625</v>
      </c>
      <c r="D392">
        <v>3954</v>
      </c>
      <c r="E392">
        <v>378</v>
      </c>
      <c r="F392">
        <f t="shared" si="20"/>
        <v>9.5599393019726864E-2</v>
      </c>
      <c r="G392">
        <v>0.9</v>
      </c>
      <c r="H392" t="s">
        <v>232</v>
      </c>
      <c r="I392" t="s">
        <v>249</v>
      </c>
      <c r="J392" t="s">
        <v>249</v>
      </c>
      <c r="K392" t="s">
        <v>249</v>
      </c>
      <c r="L392" t="s">
        <v>249</v>
      </c>
      <c r="M392" t="s">
        <v>48</v>
      </c>
      <c r="N392">
        <v>2010</v>
      </c>
      <c r="O392">
        <v>2010</v>
      </c>
      <c r="P392" t="s">
        <v>620</v>
      </c>
      <c r="Q392">
        <v>1</v>
      </c>
    </row>
    <row r="393" spans="1:17" ht="17.45" customHeight="1">
      <c r="A393" s="24" t="s">
        <v>205</v>
      </c>
      <c r="B393" t="s">
        <v>294</v>
      </c>
      <c r="C393" t="s">
        <v>638</v>
      </c>
      <c r="D393">
        <v>3533</v>
      </c>
      <c r="E393">
        <v>0</v>
      </c>
      <c r="F393">
        <f t="shared" si="20"/>
        <v>0</v>
      </c>
      <c r="G393" t="s">
        <v>249</v>
      </c>
      <c r="H393" t="s">
        <v>232</v>
      </c>
      <c r="I393" t="s">
        <v>249</v>
      </c>
      <c r="J393" t="s">
        <v>249</v>
      </c>
      <c r="K393" t="s">
        <v>249</v>
      </c>
      <c r="L393" t="s">
        <v>249</v>
      </c>
      <c r="M393" t="s">
        <v>48</v>
      </c>
      <c r="N393">
        <v>2009</v>
      </c>
      <c r="O393">
        <v>2009</v>
      </c>
      <c r="P393" t="s">
        <v>632</v>
      </c>
      <c r="Q393">
        <v>1</v>
      </c>
    </row>
    <row r="394" spans="1:17" ht="17.45" customHeight="1">
      <c r="A394" s="24" t="s">
        <v>205</v>
      </c>
      <c r="B394" t="s">
        <v>294</v>
      </c>
      <c r="C394" t="s">
        <v>626</v>
      </c>
      <c r="D394">
        <v>3375</v>
      </c>
      <c r="E394">
        <v>0</v>
      </c>
      <c r="F394">
        <f t="shared" si="20"/>
        <v>0</v>
      </c>
      <c r="G394" t="s">
        <v>249</v>
      </c>
      <c r="H394" t="s">
        <v>232</v>
      </c>
      <c r="I394" t="s">
        <v>249</v>
      </c>
      <c r="J394" t="s">
        <v>249</v>
      </c>
      <c r="K394" t="s">
        <v>249</v>
      </c>
      <c r="L394" t="s">
        <v>249</v>
      </c>
      <c r="M394" t="s">
        <v>48</v>
      </c>
      <c r="N394">
        <v>2010</v>
      </c>
      <c r="O394">
        <v>2010</v>
      </c>
      <c r="P394" t="s">
        <v>620</v>
      </c>
      <c r="Q394">
        <v>1</v>
      </c>
    </row>
    <row r="395" spans="1:17" ht="17.45" customHeight="1">
      <c r="A395" s="24" t="s">
        <v>205</v>
      </c>
      <c r="B395" t="s">
        <v>294</v>
      </c>
      <c r="C395" t="s">
        <v>639</v>
      </c>
      <c r="D395">
        <v>6329</v>
      </c>
      <c r="E395">
        <v>133</v>
      </c>
      <c r="F395">
        <f t="shared" si="20"/>
        <v>2.1014378258808659E-2</v>
      </c>
      <c r="G395">
        <v>1</v>
      </c>
      <c r="H395" t="s">
        <v>232</v>
      </c>
      <c r="I395" t="s">
        <v>249</v>
      </c>
      <c r="J395" t="s">
        <v>249</v>
      </c>
      <c r="K395" t="s">
        <v>249</v>
      </c>
      <c r="L395" t="s">
        <v>249</v>
      </c>
      <c r="M395" t="s">
        <v>48</v>
      </c>
      <c r="N395">
        <v>2009</v>
      </c>
      <c r="O395">
        <v>2009</v>
      </c>
      <c r="P395" t="s">
        <v>632</v>
      </c>
      <c r="Q395">
        <v>1</v>
      </c>
    </row>
    <row r="396" spans="1:17" ht="17.45" customHeight="1">
      <c r="A396" s="24" t="s">
        <v>205</v>
      </c>
      <c r="B396" t="s">
        <v>294</v>
      </c>
      <c r="C396" t="s">
        <v>627</v>
      </c>
      <c r="D396">
        <v>4684</v>
      </c>
      <c r="E396">
        <v>0</v>
      </c>
      <c r="F396">
        <f t="shared" si="20"/>
        <v>0</v>
      </c>
      <c r="G396" t="s">
        <v>249</v>
      </c>
      <c r="H396" t="s">
        <v>232</v>
      </c>
      <c r="I396" t="s">
        <v>249</v>
      </c>
      <c r="J396" t="s">
        <v>249</v>
      </c>
      <c r="K396" t="s">
        <v>249</v>
      </c>
      <c r="L396" t="s">
        <v>249</v>
      </c>
      <c r="M396" t="s">
        <v>48</v>
      </c>
      <c r="N396">
        <v>2010</v>
      </c>
      <c r="O396">
        <v>2010</v>
      </c>
      <c r="P396" t="s">
        <v>620</v>
      </c>
      <c r="Q396">
        <v>1</v>
      </c>
    </row>
    <row r="397" spans="1:17" ht="17.45" customHeight="1">
      <c r="A397" s="24" t="s">
        <v>205</v>
      </c>
      <c r="B397" t="s">
        <v>294</v>
      </c>
      <c r="C397" t="s">
        <v>640</v>
      </c>
      <c r="D397">
        <v>6774</v>
      </c>
      <c r="E397">
        <v>223</v>
      </c>
      <c r="F397">
        <f t="shared" si="20"/>
        <v>3.2919988190138763E-2</v>
      </c>
      <c r="G397">
        <v>0.88</v>
      </c>
      <c r="H397" t="s">
        <v>232</v>
      </c>
      <c r="I397" t="s">
        <v>249</v>
      </c>
      <c r="J397" t="s">
        <v>249</v>
      </c>
      <c r="K397" t="s">
        <v>249</v>
      </c>
      <c r="L397" t="s">
        <v>249</v>
      </c>
      <c r="M397" t="s">
        <v>48</v>
      </c>
      <c r="N397">
        <v>2009</v>
      </c>
      <c r="O397">
        <v>2009</v>
      </c>
      <c r="P397" t="s">
        <v>632</v>
      </c>
      <c r="Q397">
        <v>1</v>
      </c>
    </row>
    <row r="398" spans="1:17" ht="17.45" customHeight="1">
      <c r="A398" s="24" t="s">
        <v>205</v>
      </c>
      <c r="B398" t="s">
        <v>294</v>
      </c>
      <c r="C398" t="s">
        <v>628</v>
      </c>
      <c r="D398">
        <v>6772</v>
      </c>
      <c r="E398">
        <v>150</v>
      </c>
      <c r="F398">
        <f t="shared" si="20"/>
        <v>2.2150029533372712E-2</v>
      </c>
      <c r="G398">
        <v>1.1000000000000001</v>
      </c>
      <c r="H398" t="s">
        <v>232</v>
      </c>
      <c r="I398" t="s">
        <v>249</v>
      </c>
      <c r="J398" t="s">
        <v>249</v>
      </c>
      <c r="K398" t="s">
        <v>249</v>
      </c>
      <c r="L398" t="s">
        <v>249</v>
      </c>
      <c r="M398" t="s">
        <v>48</v>
      </c>
      <c r="N398">
        <v>2010</v>
      </c>
      <c r="O398">
        <v>2010</v>
      </c>
      <c r="P398" t="s">
        <v>620</v>
      </c>
      <c r="Q398">
        <v>1</v>
      </c>
    </row>
    <row r="399" spans="1:17" ht="17.45" customHeight="1">
      <c r="A399" s="24" t="s">
        <v>205</v>
      </c>
      <c r="B399" t="s">
        <v>294</v>
      </c>
      <c r="C399" t="s">
        <v>641</v>
      </c>
      <c r="D399">
        <v>4152</v>
      </c>
      <c r="E399">
        <v>148</v>
      </c>
      <c r="F399">
        <f t="shared" ref="F399:F430" si="21">E399/D399</f>
        <v>3.5645472061657031E-2</v>
      </c>
      <c r="G399">
        <v>0.91</v>
      </c>
      <c r="H399" t="s">
        <v>232</v>
      </c>
      <c r="I399" t="s">
        <v>249</v>
      </c>
      <c r="J399" t="s">
        <v>249</v>
      </c>
      <c r="K399" t="s">
        <v>249</v>
      </c>
      <c r="L399" t="s">
        <v>249</v>
      </c>
      <c r="M399" t="s">
        <v>48</v>
      </c>
      <c r="N399">
        <v>2009</v>
      </c>
      <c r="O399">
        <v>2009</v>
      </c>
      <c r="P399" t="s">
        <v>632</v>
      </c>
      <c r="Q399">
        <v>1</v>
      </c>
    </row>
    <row r="400" spans="1:17" ht="17.45" customHeight="1">
      <c r="A400" s="24" t="s">
        <v>205</v>
      </c>
      <c r="B400" t="s">
        <v>294</v>
      </c>
      <c r="C400" t="s">
        <v>629</v>
      </c>
      <c r="D400">
        <v>3557</v>
      </c>
      <c r="E400">
        <v>151</v>
      </c>
      <c r="F400">
        <f t="shared" si="21"/>
        <v>4.2451504076468936E-2</v>
      </c>
      <c r="G400">
        <v>0.57999999999999996</v>
      </c>
      <c r="H400" t="s">
        <v>232</v>
      </c>
      <c r="I400" t="s">
        <v>249</v>
      </c>
      <c r="J400" t="s">
        <v>249</v>
      </c>
      <c r="K400" t="s">
        <v>249</v>
      </c>
      <c r="L400" t="s">
        <v>249</v>
      </c>
      <c r="M400" t="s">
        <v>48</v>
      </c>
      <c r="N400">
        <v>2010</v>
      </c>
      <c r="O400">
        <v>2010</v>
      </c>
      <c r="P400" t="s">
        <v>620</v>
      </c>
      <c r="Q400">
        <v>1</v>
      </c>
    </row>
    <row r="401" spans="1:17" ht="17.45" customHeight="1">
      <c r="A401" s="24" t="s">
        <v>205</v>
      </c>
      <c r="B401" t="s">
        <v>294</v>
      </c>
      <c r="C401" t="s">
        <v>642</v>
      </c>
      <c r="D401">
        <v>54839</v>
      </c>
      <c r="E401">
        <v>2008</v>
      </c>
      <c r="F401">
        <f t="shared" si="21"/>
        <v>3.6616276737358448E-2</v>
      </c>
      <c r="G401">
        <v>0.34</v>
      </c>
      <c r="H401" t="s">
        <v>232</v>
      </c>
      <c r="I401" t="s">
        <v>249</v>
      </c>
      <c r="J401" t="s">
        <v>249</v>
      </c>
      <c r="K401" t="s">
        <v>249</v>
      </c>
      <c r="L401" t="s">
        <v>249</v>
      </c>
      <c r="M401" t="s">
        <v>48</v>
      </c>
      <c r="N401">
        <v>2009</v>
      </c>
      <c r="O401">
        <v>2009</v>
      </c>
      <c r="P401" t="s">
        <v>632</v>
      </c>
      <c r="Q401">
        <v>1</v>
      </c>
    </row>
    <row r="402" spans="1:17" ht="17.45" customHeight="1">
      <c r="A402" s="24" t="s">
        <v>205</v>
      </c>
      <c r="B402" t="s">
        <v>294</v>
      </c>
      <c r="C402" t="s">
        <v>630</v>
      </c>
      <c r="D402">
        <v>51223</v>
      </c>
      <c r="E402">
        <v>2482</v>
      </c>
      <c r="F402">
        <f t="shared" si="21"/>
        <v>4.8454795697245381E-2</v>
      </c>
      <c r="G402">
        <v>0.28999999999999998</v>
      </c>
      <c r="H402" t="s">
        <v>232</v>
      </c>
      <c r="I402" t="s">
        <v>249</v>
      </c>
      <c r="J402" t="s">
        <v>249</v>
      </c>
      <c r="K402" t="s">
        <v>249</v>
      </c>
      <c r="L402" t="s">
        <v>249</v>
      </c>
      <c r="M402" t="s">
        <v>48</v>
      </c>
      <c r="N402">
        <v>2010</v>
      </c>
      <c r="O402">
        <v>2010</v>
      </c>
      <c r="P402" t="s">
        <v>620</v>
      </c>
      <c r="Q402">
        <v>1</v>
      </c>
    </row>
    <row r="403" spans="1:17" ht="17.45" customHeight="1">
      <c r="A403" s="24" t="s">
        <v>205</v>
      </c>
      <c r="B403" t="s">
        <v>240</v>
      </c>
      <c r="C403" t="s">
        <v>631</v>
      </c>
      <c r="D403">
        <v>5773</v>
      </c>
      <c r="E403">
        <v>0</v>
      </c>
      <c r="F403">
        <f t="shared" si="21"/>
        <v>0</v>
      </c>
      <c r="G403" t="s">
        <v>249</v>
      </c>
      <c r="H403" t="s">
        <v>232</v>
      </c>
      <c r="I403" t="s">
        <v>249</v>
      </c>
      <c r="J403" t="s">
        <v>249</v>
      </c>
      <c r="K403" t="s">
        <v>249</v>
      </c>
      <c r="L403" t="s">
        <v>249</v>
      </c>
      <c r="M403" t="s">
        <v>48</v>
      </c>
      <c r="N403">
        <v>2009</v>
      </c>
      <c r="O403">
        <v>2009</v>
      </c>
      <c r="P403" t="s">
        <v>632</v>
      </c>
      <c r="Q403">
        <v>1</v>
      </c>
    </row>
    <row r="404" spans="1:17" ht="17.45" customHeight="1">
      <c r="A404" s="24" t="s">
        <v>205</v>
      </c>
      <c r="B404" t="s">
        <v>240</v>
      </c>
      <c r="C404" t="s">
        <v>619</v>
      </c>
      <c r="D404">
        <v>5615</v>
      </c>
      <c r="E404">
        <v>0</v>
      </c>
      <c r="F404">
        <f t="shared" si="21"/>
        <v>0</v>
      </c>
      <c r="G404" t="s">
        <v>249</v>
      </c>
      <c r="H404" t="s">
        <v>232</v>
      </c>
      <c r="I404" t="s">
        <v>249</v>
      </c>
      <c r="J404" t="s">
        <v>249</v>
      </c>
      <c r="K404" t="s">
        <v>249</v>
      </c>
      <c r="L404" t="s">
        <v>249</v>
      </c>
      <c r="M404" t="s">
        <v>48</v>
      </c>
      <c r="N404">
        <v>2010</v>
      </c>
      <c r="O404">
        <v>2010</v>
      </c>
      <c r="P404" t="s">
        <v>620</v>
      </c>
      <c r="Q404">
        <v>1</v>
      </c>
    </row>
    <row r="405" spans="1:17" ht="17.45" customHeight="1">
      <c r="A405" s="24" t="s">
        <v>205</v>
      </c>
      <c r="B405" t="s">
        <v>240</v>
      </c>
      <c r="C405" t="s">
        <v>633</v>
      </c>
      <c r="D405">
        <v>9418</v>
      </c>
      <c r="E405">
        <v>0</v>
      </c>
      <c r="F405">
        <f t="shared" si="21"/>
        <v>0</v>
      </c>
      <c r="G405" t="s">
        <v>249</v>
      </c>
      <c r="H405" t="s">
        <v>232</v>
      </c>
      <c r="I405" t="s">
        <v>249</v>
      </c>
      <c r="J405" t="s">
        <v>249</v>
      </c>
      <c r="K405" t="s">
        <v>249</v>
      </c>
      <c r="L405" t="s">
        <v>249</v>
      </c>
      <c r="M405" t="s">
        <v>48</v>
      </c>
      <c r="N405">
        <v>2009</v>
      </c>
      <c r="O405">
        <v>2009</v>
      </c>
      <c r="P405" t="s">
        <v>632</v>
      </c>
      <c r="Q405">
        <v>1</v>
      </c>
    </row>
    <row r="406" spans="1:17" ht="17.45" customHeight="1">
      <c r="A406" s="24" t="s">
        <v>205</v>
      </c>
      <c r="B406" t="s">
        <v>240</v>
      </c>
      <c r="C406" t="s">
        <v>621</v>
      </c>
      <c r="D406">
        <v>8294</v>
      </c>
      <c r="E406">
        <v>0</v>
      </c>
      <c r="F406">
        <f t="shared" si="21"/>
        <v>0</v>
      </c>
      <c r="G406" t="s">
        <v>249</v>
      </c>
      <c r="H406" t="s">
        <v>232</v>
      </c>
      <c r="I406" t="s">
        <v>249</v>
      </c>
      <c r="J406" t="s">
        <v>249</v>
      </c>
      <c r="K406" t="s">
        <v>249</v>
      </c>
      <c r="L406" t="s">
        <v>249</v>
      </c>
      <c r="M406" t="s">
        <v>48</v>
      </c>
      <c r="N406">
        <v>2010</v>
      </c>
      <c r="O406">
        <v>2010</v>
      </c>
      <c r="P406" t="s">
        <v>620</v>
      </c>
      <c r="Q406">
        <v>1</v>
      </c>
    </row>
    <row r="407" spans="1:17" ht="17.45" customHeight="1">
      <c r="A407" s="24" t="s">
        <v>205</v>
      </c>
      <c r="B407" t="s">
        <v>240</v>
      </c>
      <c r="C407" t="s">
        <v>634</v>
      </c>
      <c r="D407">
        <v>7458</v>
      </c>
      <c r="E407">
        <v>720</v>
      </c>
      <c r="F407">
        <f t="shared" si="21"/>
        <v>9.6540627514078839E-2</v>
      </c>
      <c r="G407">
        <v>0.59</v>
      </c>
      <c r="H407" t="s">
        <v>232</v>
      </c>
      <c r="I407" t="s">
        <v>249</v>
      </c>
      <c r="J407" t="s">
        <v>249</v>
      </c>
      <c r="K407" t="s">
        <v>249</v>
      </c>
      <c r="L407" t="s">
        <v>249</v>
      </c>
      <c r="M407" t="s">
        <v>48</v>
      </c>
      <c r="N407">
        <v>2009</v>
      </c>
      <c r="O407">
        <v>2009</v>
      </c>
      <c r="P407" t="s">
        <v>632</v>
      </c>
      <c r="Q407">
        <v>1</v>
      </c>
    </row>
    <row r="408" spans="1:17" ht="17.45" customHeight="1">
      <c r="A408" s="24" t="s">
        <v>205</v>
      </c>
      <c r="B408" t="s">
        <v>240</v>
      </c>
      <c r="C408" t="s">
        <v>622</v>
      </c>
      <c r="D408">
        <v>7458</v>
      </c>
      <c r="E408">
        <v>433</v>
      </c>
      <c r="F408">
        <f t="shared" si="21"/>
        <v>5.8058460713327972E-2</v>
      </c>
      <c r="G408">
        <v>0.71</v>
      </c>
      <c r="H408" t="s">
        <v>232</v>
      </c>
      <c r="I408" t="s">
        <v>249</v>
      </c>
      <c r="J408" t="s">
        <v>249</v>
      </c>
      <c r="K408" t="s">
        <v>249</v>
      </c>
      <c r="L408" t="s">
        <v>249</v>
      </c>
      <c r="M408" t="s">
        <v>48</v>
      </c>
      <c r="N408">
        <v>2010</v>
      </c>
      <c r="O408">
        <v>2010</v>
      </c>
      <c r="P408" t="s">
        <v>620</v>
      </c>
      <c r="Q408">
        <v>1</v>
      </c>
    </row>
    <row r="409" spans="1:17" ht="17.45" customHeight="1">
      <c r="A409" s="24" t="s">
        <v>205</v>
      </c>
      <c r="B409" t="s">
        <v>240</v>
      </c>
      <c r="C409" t="s">
        <v>635</v>
      </c>
      <c r="D409">
        <v>4161</v>
      </c>
      <c r="E409">
        <v>1029</v>
      </c>
      <c r="F409">
        <f t="shared" si="21"/>
        <v>0.24729632299927901</v>
      </c>
      <c r="G409">
        <v>0.56999999999999995</v>
      </c>
      <c r="H409" t="s">
        <v>232</v>
      </c>
      <c r="I409" t="s">
        <v>249</v>
      </c>
      <c r="J409" t="s">
        <v>249</v>
      </c>
      <c r="K409" t="s">
        <v>249</v>
      </c>
      <c r="L409" t="s">
        <v>249</v>
      </c>
      <c r="M409" t="s">
        <v>48</v>
      </c>
      <c r="N409">
        <v>2009</v>
      </c>
      <c r="O409">
        <v>2009</v>
      </c>
      <c r="P409" t="s">
        <v>632</v>
      </c>
      <c r="Q409">
        <v>1</v>
      </c>
    </row>
    <row r="410" spans="1:17" ht="17.45" customHeight="1">
      <c r="A410" s="24" t="s">
        <v>205</v>
      </c>
      <c r="B410" t="s">
        <v>240</v>
      </c>
      <c r="C410" t="s">
        <v>623</v>
      </c>
      <c r="D410">
        <v>4233</v>
      </c>
      <c r="E410">
        <v>935</v>
      </c>
      <c r="F410">
        <f t="shared" si="21"/>
        <v>0.22088353413654618</v>
      </c>
      <c r="G410">
        <v>0.54</v>
      </c>
      <c r="H410" t="s">
        <v>232</v>
      </c>
      <c r="I410" t="s">
        <v>249</v>
      </c>
      <c r="J410" t="s">
        <v>249</v>
      </c>
      <c r="K410" t="s">
        <v>249</v>
      </c>
      <c r="L410" t="s">
        <v>249</v>
      </c>
      <c r="M410" t="s">
        <v>48</v>
      </c>
      <c r="N410">
        <v>2010</v>
      </c>
      <c r="O410">
        <v>2010</v>
      </c>
      <c r="P410" t="s">
        <v>620</v>
      </c>
      <c r="Q410">
        <v>1</v>
      </c>
    </row>
    <row r="411" spans="1:17" ht="17.45" customHeight="1">
      <c r="A411" s="24" t="s">
        <v>205</v>
      </c>
      <c r="B411" t="s">
        <v>240</v>
      </c>
      <c r="C411" t="s">
        <v>636</v>
      </c>
      <c r="D411">
        <v>3271</v>
      </c>
      <c r="E411">
        <v>0</v>
      </c>
      <c r="F411">
        <f t="shared" si="21"/>
        <v>0</v>
      </c>
      <c r="G411" t="s">
        <v>249</v>
      </c>
      <c r="H411" t="s">
        <v>232</v>
      </c>
      <c r="I411" t="s">
        <v>249</v>
      </c>
      <c r="J411" t="s">
        <v>249</v>
      </c>
      <c r="K411" t="s">
        <v>249</v>
      </c>
      <c r="L411" t="s">
        <v>249</v>
      </c>
      <c r="M411" t="s">
        <v>48</v>
      </c>
      <c r="N411">
        <v>2009</v>
      </c>
      <c r="O411">
        <v>2009</v>
      </c>
      <c r="P411" t="s">
        <v>632</v>
      </c>
      <c r="Q411">
        <v>1</v>
      </c>
    </row>
    <row r="412" spans="1:17" ht="17.45" customHeight="1">
      <c r="A412" s="24" t="s">
        <v>205</v>
      </c>
      <c r="B412" t="s">
        <v>240</v>
      </c>
      <c r="C412" t="s">
        <v>624</v>
      </c>
      <c r="D412">
        <v>3283</v>
      </c>
      <c r="E412">
        <v>0</v>
      </c>
      <c r="F412">
        <f t="shared" si="21"/>
        <v>0</v>
      </c>
      <c r="G412" t="s">
        <v>249</v>
      </c>
      <c r="H412" t="s">
        <v>232</v>
      </c>
      <c r="I412" t="s">
        <v>249</v>
      </c>
      <c r="J412" t="s">
        <v>249</v>
      </c>
      <c r="K412" t="s">
        <v>249</v>
      </c>
      <c r="L412" t="s">
        <v>249</v>
      </c>
      <c r="M412" t="s">
        <v>48</v>
      </c>
      <c r="N412">
        <v>2010</v>
      </c>
      <c r="O412">
        <v>2010</v>
      </c>
      <c r="P412" t="s">
        <v>620</v>
      </c>
      <c r="Q412">
        <v>1</v>
      </c>
    </row>
    <row r="413" spans="1:17" ht="17.45" customHeight="1">
      <c r="A413" s="24" t="s">
        <v>205</v>
      </c>
      <c r="B413" t="s">
        <v>240</v>
      </c>
      <c r="C413" t="s">
        <v>637</v>
      </c>
      <c r="D413">
        <v>3970</v>
      </c>
      <c r="E413">
        <v>984</v>
      </c>
      <c r="F413">
        <f t="shared" si="21"/>
        <v>0.24785894206549119</v>
      </c>
      <c r="G413">
        <v>0.38</v>
      </c>
      <c r="H413" t="s">
        <v>232</v>
      </c>
      <c r="I413" t="s">
        <v>249</v>
      </c>
      <c r="J413" t="s">
        <v>249</v>
      </c>
      <c r="K413" t="s">
        <v>249</v>
      </c>
      <c r="L413" t="s">
        <v>249</v>
      </c>
      <c r="M413" t="s">
        <v>48</v>
      </c>
      <c r="N413">
        <v>2009</v>
      </c>
      <c r="O413">
        <v>2009</v>
      </c>
      <c r="P413" t="s">
        <v>632</v>
      </c>
      <c r="Q413">
        <v>1</v>
      </c>
    </row>
    <row r="414" spans="1:17" ht="17.45" customHeight="1">
      <c r="A414" s="24" t="s">
        <v>205</v>
      </c>
      <c r="B414" t="s">
        <v>240</v>
      </c>
      <c r="C414" t="s">
        <v>625</v>
      </c>
      <c r="D414">
        <v>3954</v>
      </c>
      <c r="E414">
        <v>158</v>
      </c>
      <c r="F414">
        <f t="shared" si="21"/>
        <v>3.9959534648457258E-2</v>
      </c>
      <c r="G414">
        <v>1.02</v>
      </c>
      <c r="H414" t="s">
        <v>232</v>
      </c>
      <c r="I414" t="s">
        <v>249</v>
      </c>
      <c r="J414" t="s">
        <v>249</v>
      </c>
      <c r="K414" t="s">
        <v>249</v>
      </c>
      <c r="L414" t="s">
        <v>249</v>
      </c>
      <c r="M414" t="s">
        <v>48</v>
      </c>
      <c r="N414">
        <v>2010</v>
      </c>
      <c r="O414">
        <v>2010</v>
      </c>
      <c r="P414" t="s">
        <v>620</v>
      </c>
      <c r="Q414">
        <v>1</v>
      </c>
    </row>
    <row r="415" spans="1:17" ht="17.45" customHeight="1">
      <c r="A415" s="24" t="s">
        <v>205</v>
      </c>
      <c r="B415" t="s">
        <v>240</v>
      </c>
      <c r="C415" t="s">
        <v>643</v>
      </c>
      <c r="D415">
        <v>3533</v>
      </c>
      <c r="E415">
        <v>1305</v>
      </c>
      <c r="F415">
        <f t="shared" si="21"/>
        <v>0.36937446928955564</v>
      </c>
      <c r="G415">
        <v>0.56000000000000005</v>
      </c>
      <c r="H415" t="s">
        <v>232</v>
      </c>
      <c r="I415" t="s">
        <v>249</v>
      </c>
      <c r="J415" t="s">
        <v>249</v>
      </c>
      <c r="K415" t="s">
        <v>249</v>
      </c>
      <c r="L415" t="s">
        <v>249</v>
      </c>
      <c r="M415" t="s">
        <v>48</v>
      </c>
      <c r="N415">
        <v>2009</v>
      </c>
      <c r="O415">
        <v>2009</v>
      </c>
      <c r="P415" t="s">
        <v>632</v>
      </c>
      <c r="Q415">
        <v>1</v>
      </c>
    </row>
    <row r="416" spans="1:17" ht="17.45" customHeight="1">
      <c r="A416" s="24" t="s">
        <v>205</v>
      </c>
      <c r="B416" t="s">
        <v>240</v>
      </c>
      <c r="C416" t="s">
        <v>644</v>
      </c>
      <c r="D416">
        <v>3375</v>
      </c>
      <c r="E416">
        <v>645</v>
      </c>
      <c r="F416">
        <f t="shared" si="21"/>
        <v>0.19111111111111112</v>
      </c>
      <c r="G416">
        <v>0.53</v>
      </c>
      <c r="H416" t="s">
        <v>232</v>
      </c>
      <c r="I416" t="s">
        <v>249</v>
      </c>
      <c r="J416" t="s">
        <v>249</v>
      </c>
      <c r="K416" t="s">
        <v>249</v>
      </c>
      <c r="L416" t="s">
        <v>249</v>
      </c>
      <c r="M416" t="s">
        <v>48</v>
      </c>
      <c r="N416">
        <v>2010</v>
      </c>
      <c r="O416">
        <v>2010</v>
      </c>
      <c r="P416" t="s">
        <v>620</v>
      </c>
      <c r="Q416">
        <v>1</v>
      </c>
    </row>
    <row r="417" spans="1:17" ht="17.45" customHeight="1">
      <c r="A417" s="24" t="s">
        <v>205</v>
      </c>
      <c r="B417" t="s">
        <v>240</v>
      </c>
      <c r="C417" t="s">
        <v>645</v>
      </c>
      <c r="D417">
        <v>6329</v>
      </c>
      <c r="E417">
        <v>355</v>
      </c>
      <c r="F417">
        <f t="shared" si="21"/>
        <v>5.609100963817349E-2</v>
      </c>
      <c r="G417">
        <v>0.98</v>
      </c>
      <c r="H417" t="s">
        <v>232</v>
      </c>
      <c r="I417" t="s">
        <v>249</v>
      </c>
      <c r="J417" t="s">
        <v>249</v>
      </c>
      <c r="K417" t="s">
        <v>249</v>
      </c>
      <c r="L417" t="s">
        <v>249</v>
      </c>
      <c r="M417" t="s">
        <v>48</v>
      </c>
      <c r="N417">
        <v>2009</v>
      </c>
      <c r="O417">
        <v>2009</v>
      </c>
      <c r="P417" t="s">
        <v>632</v>
      </c>
      <c r="Q417">
        <v>1</v>
      </c>
    </row>
    <row r="418" spans="1:17" ht="17.45" customHeight="1">
      <c r="A418" s="24" t="s">
        <v>205</v>
      </c>
      <c r="B418" t="s">
        <v>240</v>
      </c>
      <c r="C418" t="s">
        <v>646</v>
      </c>
      <c r="D418">
        <v>4684</v>
      </c>
      <c r="E418">
        <v>0</v>
      </c>
      <c r="F418">
        <f t="shared" si="21"/>
        <v>0</v>
      </c>
      <c r="G418" t="s">
        <v>249</v>
      </c>
      <c r="H418" t="s">
        <v>232</v>
      </c>
      <c r="I418" t="s">
        <v>249</v>
      </c>
      <c r="J418" t="s">
        <v>249</v>
      </c>
      <c r="K418" t="s">
        <v>249</v>
      </c>
      <c r="L418" t="s">
        <v>249</v>
      </c>
      <c r="M418" t="s">
        <v>48</v>
      </c>
      <c r="N418">
        <v>2010</v>
      </c>
      <c r="O418">
        <v>2010</v>
      </c>
      <c r="P418" t="s">
        <v>620</v>
      </c>
      <c r="Q418">
        <v>1</v>
      </c>
    </row>
    <row r="419" spans="1:17" ht="17.45" customHeight="1">
      <c r="A419" s="24" t="s">
        <v>205</v>
      </c>
      <c r="B419" t="s">
        <v>240</v>
      </c>
      <c r="C419" t="s">
        <v>647</v>
      </c>
      <c r="D419">
        <v>6774</v>
      </c>
      <c r="E419">
        <v>1855</v>
      </c>
      <c r="F419">
        <f t="shared" si="21"/>
        <v>0.27384115736640097</v>
      </c>
      <c r="G419">
        <v>0.48</v>
      </c>
      <c r="H419" t="s">
        <v>232</v>
      </c>
      <c r="I419" t="s">
        <v>249</v>
      </c>
      <c r="J419" t="s">
        <v>249</v>
      </c>
      <c r="K419" t="s">
        <v>249</v>
      </c>
      <c r="L419" t="s">
        <v>249</v>
      </c>
      <c r="M419" t="s">
        <v>48</v>
      </c>
      <c r="N419">
        <v>2009</v>
      </c>
      <c r="O419">
        <v>2009</v>
      </c>
      <c r="P419" t="s">
        <v>632</v>
      </c>
      <c r="Q419">
        <v>1</v>
      </c>
    </row>
    <row r="420" spans="1:17" ht="17.45" customHeight="1">
      <c r="A420" s="24" t="s">
        <v>205</v>
      </c>
      <c r="B420" t="s">
        <v>240</v>
      </c>
      <c r="C420" t="s">
        <v>648</v>
      </c>
      <c r="D420">
        <v>6772</v>
      </c>
      <c r="E420">
        <v>1159</v>
      </c>
      <c r="F420">
        <f t="shared" si="21"/>
        <v>0.17114589486119314</v>
      </c>
      <c r="G420">
        <v>0.9</v>
      </c>
      <c r="H420" t="s">
        <v>232</v>
      </c>
      <c r="I420" t="s">
        <v>249</v>
      </c>
      <c r="J420" t="s">
        <v>249</v>
      </c>
      <c r="K420" t="s">
        <v>249</v>
      </c>
      <c r="L420" t="s">
        <v>249</v>
      </c>
      <c r="M420" t="s">
        <v>48</v>
      </c>
      <c r="N420">
        <v>2010</v>
      </c>
      <c r="O420">
        <v>2010</v>
      </c>
      <c r="P420" t="s">
        <v>620</v>
      </c>
      <c r="Q420">
        <v>1</v>
      </c>
    </row>
    <row r="421" spans="1:17" ht="17.45" customHeight="1">
      <c r="A421" s="24" t="s">
        <v>205</v>
      </c>
      <c r="B421" t="s">
        <v>240</v>
      </c>
      <c r="C421" t="s">
        <v>649</v>
      </c>
      <c r="D421">
        <v>4152</v>
      </c>
      <c r="E421">
        <v>4429</v>
      </c>
      <c r="F421">
        <f t="shared" si="21"/>
        <v>1.0667148362235068</v>
      </c>
      <c r="G421">
        <v>0.5</v>
      </c>
      <c r="H421" t="s">
        <v>232</v>
      </c>
      <c r="I421" t="s">
        <v>249</v>
      </c>
      <c r="J421" t="s">
        <v>249</v>
      </c>
      <c r="K421" t="s">
        <v>249</v>
      </c>
      <c r="L421" t="s">
        <v>249</v>
      </c>
      <c r="M421" t="s">
        <v>48</v>
      </c>
      <c r="N421">
        <v>2009</v>
      </c>
      <c r="O421">
        <v>2009</v>
      </c>
      <c r="P421" t="s">
        <v>632</v>
      </c>
      <c r="Q421">
        <v>1</v>
      </c>
    </row>
    <row r="422" spans="1:17" ht="17.45" customHeight="1">
      <c r="A422" s="24" t="s">
        <v>205</v>
      </c>
      <c r="B422" t="s">
        <v>240</v>
      </c>
      <c r="C422" t="s">
        <v>650</v>
      </c>
      <c r="D422">
        <v>3557</v>
      </c>
      <c r="E422">
        <v>1445</v>
      </c>
      <c r="F422">
        <f t="shared" si="21"/>
        <v>0.40624121450660672</v>
      </c>
      <c r="G422">
        <v>0.54</v>
      </c>
      <c r="H422" t="s">
        <v>232</v>
      </c>
      <c r="I422" t="s">
        <v>249</v>
      </c>
      <c r="J422" t="s">
        <v>249</v>
      </c>
      <c r="K422" t="s">
        <v>249</v>
      </c>
      <c r="L422" t="s">
        <v>249</v>
      </c>
      <c r="M422" t="s">
        <v>48</v>
      </c>
      <c r="N422">
        <v>2010</v>
      </c>
      <c r="O422">
        <v>2010</v>
      </c>
      <c r="P422" t="s">
        <v>620</v>
      </c>
      <c r="Q422">
        <v>1</v>
      </c>
    </row>
    <row r="423" spans="1:17" ht="17.45" customHeight="1">
      <c r="A423" s="24" t="s">
        <v>205</v>
      </c>
      <c r="B423" t="s">
        <v>240</v>
      </c>
      <c r="C423" t="s">
        <v>651</v>
      </c>
      <c r="D423">
        <v>54839</v>
      </c>
      <c r="E423">
        <v>10677</v>
      </c>
      <c r="F423">
        <f t="shared" si="21"/>
        <v>0.19469720454421124</v>
      </c>
      <c r="G423">
        <v>0.28999999999999998</v>
      </c>
      <c r="H423" t="s">
        <v>232</v>
      </c>
      <c r="I423" t="s">
        <v>249</v>
      </c>
      <c r="J423" t="s">
        <v>249</v>
      </c>
      <c r="K423" t="s">
        <v>249</v>
      </c>
      <c r="L423" t="s">
        <v>249</v>
      </c>
      <c r="M423" t="s">
        <v>48</v>
      </c>
      <c r="N423">
        <v>2009</v>
      </c>
      <c r="O423">
        <v>2009</v>
      </c>
      <c r="P423" t="s">
        <v>632</v>
      </c>
      <c r="Q423">
        <v>1</v>
      </c>
    </row>
    <row r="424" spans="1:17" ht="17.45" customHeight="1">
      <c r="A424" s="24" t="s">
        <v>205</v>
      </c>
      <c r="B424" t="s">
        <v>240</v>
      </c>
      <c r="C424" t="s">
        <v>652</v>
      </c>
      <c r="D424">
        <v>51223</v>
      </c>
      <c r="E424">
        <v>4775</v>
      </c>
      <c r="F424">
        <f t="shared" si="21"/>
        <v>9.32198426488101E-2</v>
      </c>
      <c r="G424">
        <v>0.36</v>
      </c>
      <c r="H424" t="s">
        <v>232</v>
      </c>
      <c r="I424" t="s">
        <v>249</v>
      </c>
      <c r="J424" t="s">
        <v>249</v>
      </c>
      <c r="K424" t="s">
        <v>249</v>
      </c>
      <c r="L424" t="s">
        <v>249</v>
      </c>
      <c r="M424" t="s">
        <v>48</v>
      </c>
      <c r="N424">
        <v>2010</v>
      </c>
      <c r="O424">
        <v>2010</v>
      </c>
      <c r="P424" t="s">
        <v>620</v>
      </c>
      <c r="Q424">
        <v>1</v>
      </c>
    </row>
    <row r="425" spans="1:17" ht="17.45" customHeight="1">
      <c r="A425" s="24" t="s">
        <v>205</v>
      </c>
      <c r="B425" t="s">
        <v>311</v>
      </c>
      <c r="C425" t="s">
        <v>653</v>
      </c>
      <c r="D425">
        <v>5615</v>
      </c>
      <c r="E425">
        <v>411</v>
      </c>
      <c r="F425">
        <f t="shared" si="21"/>
        <v>7.3196794300979515E-2</v>
      </c>
      <c r="G425">
        <v>0.88</v>
      </c>
      <c r="H425" t="s">
        <v>232</v>
      </c>
      <c r="I425" t="s">
        <v>249</v>
      </c>
      <c r="J425" t="s">
        <v>249</v>
      </c>
      <c r="K425" t="s">
        <v>249</v>
      </c>
      <c r="L425" t="s">
        <v>249</v>
      </c>
      <c r="M425" t="s">
        <v>48</v>
      </c>
      <c r="N425">
        <v>2010</v>
      </c>
      <c r="O425">
        <v>2010</v>
      </c>
      <c r="P425" t="s">
        <v>620</v>
      </c>
      <c r="Q425">
        <v>1</v>
      </c>
    </row>
    <row r="426" spans="1:17" ht="17.45" customHeight="1">
      <c r="A426" s="24" t="s">
        <v>205</v>
      </c>
      <c r="B426" t="s">
        <v>311</v>
      </c>
      <c r="C426" t="s">
        <v>654</v>
      </c>
      <c r="D426">
        <v>8294</v>
      </c>
      <c r="E426">
        <v>140</v>
      </c>
      <c r="F426">
        <f t="shared" si="21"/>
        <v>1.6879672052085844E-2</v>
      </c>
      <c r="G426">
        <v>0.95</v>
      </c>
      <c r="H426" t="s">
        <v>232</v>
      </c>
      <c r="I426" t="s">
        <v>249</v>
      </c>
      <c r="J426" t="s">
        <v>249</v>
      </c>
      <c r="K426" t="s">
        <v>249</v>
      </c>
      <c r="L426" t="s">
        <v>249</v>
      </c>
      <c r="M426" t="s">
        <v>48</v>
      </c>
      <c r="N426">
        <v>2010</v>
      </c>
      <c r="O426">
        <v>2010</v>
      </c>
      <c r="P426" t="s">
        <v>620</v>
      </c>
      <c r="Q426">
        <v>1</v>
      </c>
    </row>
    <row r="427" spans="1:17" ht="17.45" customHeight="1">
      <c r="A427" s="24" t="s">
        <v>205</v>
      </c>
      <c r="B427" t="s">
        <v>311</v>
      </c>
      <c r="C427" t="s">
        <v>655</v>
      </c>
      <c r="D427">
        <v>7458</v>
      </c>
      <c r="E427">
        <v>2722</v>
      </c>
      <c r="F427">
        <f t="shared" si="21"/>
        <v>0.36497720568517028</v>
      </c>
      <c r="G427">
        <v>0.38</v>
      </c>
      <c r="H427" t="s">
        <v>232</v>
      </c>
      <c r="I427" t="s">
        <v>249</v>
      </c>
      <c r="J427" t="s">
        <v>249</v>
      </c>
      <c r="K427" t="s">
        <v>249</v>
      </c>
      <c r="L427" t="s">
        <v>249</v>
      </c>
      <c r="M427" t="s">
        <v>48</v>
      </c>
      <c r="N427">
        <v>2010</v>
      </c>
      <c r="O427">
        <v>2010</v>
      </c>
      <c r="P427" t="s">
        <v>620</v>
      </c>
      <c r="Q427">
        <v>1</v>
      </c>
    </row>
    <row r="428" spans="1:17" ht="17.45" customHeight="1">
      <c r="A428" s="24" t="s">
        <v>205</v>
      </c>
      <c r="B428" t="s">
        <v>311</v>
      </c>
      <c r="C428" t="s">
        <v>656</v>
      </c>
      <c r="D428">
        <v>4233</v>
      </c>
      <c r="E428">
        <v>2852</v>
      </c>
      <c r="F428">
        <f t="shared" si="21"/>
        <v>0.67375383888495155</v>
      </c>
      <c r="G428">
        <v>0.31</v>
      </c>
      <c r="H428" t="s">
        <v>232</v>
      </c>
      <c r="I428" t="s">
        <v>249</v>
      </c>
      <c r="J428" t="s">
        <v>249</v>
      </c>
      <c r="K428" t="s">
        <v>249</v>
      </c>
      <c r="L428" t="s">
        <v>249</v>
      </c>
      <c r="M428" t="s">
        <v>48</v>
      </c>
      <c r="N428">
        <v>2010</v>
      </c>
      <c r="O428">
        <v>2010</v>
      </c>
      <c r="P428" t="s">
        <v>620</v>
      </c>
      <c r="Q428">
        <v>1</v>
      </c>
    </row>
    <row r="429" spans="1:17" ht="17.45" customHeight="1">
      <c r="A429" s="24" t="s">
        <v>205</v>
      </c>
      <c r="B429" t="s">
        <v>311</v>
      </c>
      <c r="C429" t="s">
        <v>657</v>
      </c>
      <c r="D429">
        <v>3283</v>
      </c>
      <c r="E429">
        <v>545</v>
      </c>
      <c r="F429">
        <f t="shared" si="21"/>
        <v>0.16600670118793787</v>
      </c>
      <c r="G429">
        <v>0.74</v>
      </c>
      <c r="H429" t="s">
        <v>232</v>
      </c>
      <c r="I429" t="s">
        <v>249</v>
      </c>
      <c r="J429" t="s">
        <v>249</v>
      </c>
      <c r="K429" t="s">
        <v>249</v>
      </c>
      <c r="L429" t="s">
        <v>249</v>
      </c>
      <c r="M429" t="s">
        <v>48</v>
      </c>
      <c r="N429">
        <v>2010</v>
      </c>
      <c r="O429">
        <v>2010</v>
      </c>
      <c r="P429" t="s">
        <v>620</v>
      </c>
      <c r="Q429">
        <v>1</v>
      </c>
    </row>
    <row r="430" spans="1:17" ht="17.45" customHeight="1">
      <c r="A430" s="24" t="s">
        <v>205</v>
      </c>
      <c r="B430" t="s">
        <v>311</v>
      </c>
      <c r="C430" t="s">
        <v>658</v>
      </c>
      <c r="D430">
        <v>3954</v>
      </c>
      <c r="E430">
        <v>350</v>
      </c>
      <c r="F430">
        <f t="shared" si="21"/>
        <v>8.8517956499747086E-2</v>
      </c>
      <c r="G430">
        <v>1.03</v>
      </c>
      <c r="H430" t="s">
        <v>232</v>
      </c>
      <c r="I430" t="s">
        <v>249</v>
      </c>
      <c r="J430" t="s">
        <v>249</v>
      </c>
      <c r="K430" t="s">
        <v>249</v>
      </c>
      <c r="L430" t="s">
        <v>249</v>
      </c>
      <c r="M430" t="s">
        <v>48</v>
      </c>
      <c r="N430">
        <v>2010</v>
      </c>
      <c r="O430">
        <v>2010</v>
      </c>
      <c r="P430" t="s">
        <v>620</v>
      </c>
      <c r="Q430">
        <v>1</v>
      </c>
    </row>
    <row r="431" spans="1:17" ht="17.45" customHeight="1">
      <c r="A431" s="24" t="s">
        <v>205</v>
      </c>
      <c r="B431" t="s">
        <v>311</v>
      </c>
      <c r="C431" t="s">
        <v>644</v>
      </c>
      <c r="D431">
        <v>3375</v>
      </c>
      <c r="E431">
        <v>1746</v>
      </c>
      <c r="F431">
        <f t="shared" ref="F431:F445" si="22">E431/D431</f>
        <v>0.51733333333333331</v>
      </c>
      <c r="G431">
        <v>0.37</v>
      </c>
      <c r="H431" t="s">
        <v>232</v>
      </c>
      <c r="I431" t="s">
        <v>249</v>
      </c>
      <c r="J431" t="s">
        <v>249</v>
      </c>
      <c r="K431" t="s">
        <v>249</v>
      </c>
      <c r="L431" t="s">
        <v>249</v>
      </c>
      <c r="M431" t="s">
        <v>48</v>
      </c>
      <c r="N431">
        <v>2010</v>
      </c>
      <c r="O431">
        <v>2010</v>
      </c>
      <c r="P431" t="s">
        <v>620</v>
      </c>
      <c r="Q431">
        <v>1</v>
      </c>
    </row>
    <row r="432" spans="1:17" ht="17.45" customHeight="1">
      <c r="A432" s="24" t="s">
        <v>205</v>
      </c>
      <c r="B432" t="s">
        <v>311</v>
      </c>
      <c r="C432" t="s">
        <v>646</v>
      </c>
      <c r="D432">
        <v>4684</v>
      </c>
      <c r="E432">
        <v>476</v>
      </c>
      <c r="F432">
        <f t="shared" si="22"/>
        <v>0.10162254483347566</v>
      </c>
      <c r="G432">
        <v>0.57999999999999996</v>
      </c>
      <c r="H432" t="s">
        <v>232</v>
      </c>
      <c r="I432" t="s">
        <v>249</v>
      </c>
      <c r="J432" t="s">
        <v>249</v>
      </c>
      <c r="K432" t="s">
        <v>249</v>
      </c>
      <c r="L432" t="s">
        <v>249</v>
      </c>
      <c r="M432" t="s">
        <v>48</v>
      </c>
      <c r="N432">
        <v>2010</v>
      </c>
      <c r="O432">
        <v>2010</v>
      </c>
      <c r="P432" t="s">
        <v>620</v>
      </c>
      <c r="Q432">
        <v>1</v>
      </c>
    </row>
    <row r="433" spans="1:17" ht="17.45" customHeight="1">
      <c r="A433" s="24" t="s">
        <v>205</v>
      </c>
      <c r="B433" t="s">
        <v>311</v>
      </c>
      <c r="C433" t="s">
        <v>648</v>
      </c>
      <c r="D433">
        <v>6772</v>
      </c>
      <c r="E433">
        <v>95</v>
      </c>
      <c r="F433">
        <f t="shared" si="22"/>
        <v>1.4028352037802717E-2</v>
      </c>
      <c r="G433">
        <v>1.1200000000000001</v>
      </c>
      <c r="H433" t="s">
        <v>232</v>
      </c>
      <c r="I433" t="s">
        <v>249</v>
      </c>
      <c r="J433" t="s">
        <v>249</v>
      </c>
      <c r="K433" t="s">
        <v>249</v>
      </c>
      <c r="L433" t="s">
        <v>249</v>
      </c>
      <c r="M433" t="s">
        <v>48</v>
      </c>
      <c r="N433">
        <v>2010</v>
      </c>
      <c r="O433">
        <v>2010</v>
      </c>
      <c r="P433" t="s">
        <v>620</v>
      </c>
      <c r="Q433">
        <v>1</v>
      </c>
    </row>
    <row r="434" spans="1:17" ht="17.45" customHeight="1">
      <c r="A434" s="24" t="s">
        <v>205</v>
      </c>
      <c r="B434" t="s">
        <v>311</v>
      </c>
      <c r="C434" t="s">
        <v>650</v>
      </c>
      <c r="D434">
        <v>3557</v>
      </c>
      <c r="E434">
        <v>191</v>
      </c>
      <c r="F434">
        <f t="shared" si="22"/>
        <v>5.3696935619904414E-2</v>
      </c>
      <c r="G434">
        <v>0.44</v>
      </c>
      <c r="H434" t="s">
        <v>232</v>
      </c>
      <c r="I434" t="s">
        <v>249</v>
      </c>
      <c r="J434" t="s">
        <v>249</v>
      </c>
      <c r="K434" t="s">
        <v>249</v>
      </c>
      <c r="L434" t="s">
        <v>249</v>
      </c>
      <c r="M434" t="s">
        <v>48</v>
      </c>
      <c r="N434">
        <v>2010</v>
      </c>
      <c r="O434">
        <v>2010</v>
      </c>
      <c r="P434" t="s">
        <v>620</v>
      </c>
      <c r="Q434">
        <v>1</v>
      </c>
    </row>
    <row r="435" spans="1:17" ht="17.45" customHeight="1">
      <c r="A435" s="24" t="s">
        <v>205</v>
      </c>
      <c r="B435" t="s">
        <v>311</v>
      </c>
      <c r="C435" t="s">
        <v>652</v>
      </c>
      <c r="D435">
        <v>51223</v>
      </c>
      <c r="E435">
        <v>9529</v>
      </c>
      <c r="F435">
        <f t="shared" si="22"/>
        <v>0.1860297132147668</v>
      </c>
      <c r="G435">
        <v>0.28999999999999998</v>
      </c>
      <c r="H435" t="s">
        <v>232</v>
      </c>
      <c r="I435" t="s">
        <v>249</v>
      </c>
      <c r="J435" t="s">
        <v>249</v>
      </c>
      <c r="K435" t="s">
        <v>249</v>
      </c>
      <c r="L435" t="s">
        <v>249</v>
      </c>
      <c r="M435" t="s">
        <v>48</v>
      </c>
      <c r="N435">
        <v>2010</v>
      </c>
      <c r="O435">
        <v>2010</v>
      </c>
      <c r="P435" t="s">
        <v>620</v>
      </c>
      <c r="Q435">
        <v>1</v>
      </c>
    </row>
    <row r="436" spans="1:17" ht="17.45" customHeight="1">
      <c r="A436" s="24" t="s">
        <v>205</v>
      </c>
      <c r="B436" t="s">
        <v>295</v>
      </c>
      <c r="C436" t="s">
        <v>651</v>
      </c>
      <c r="D436">
        <v>54839</v>
      </c>
      <c r="E436">
        <v>1238</v>
      </c>
      <c r="F436">
        <f t="shared" si="22"/>
        <v>2.2575174602016811E-2</v>
      </c>
      <c r="G436">
        <v>0.19</v>
      </c>
      <c r="H436" t="s">
        <v>232</v>
      </c>
      <c r="I436" t="s">
        <v>249</v>
      </c>
      <c r="J436" t="s">
        <v>249</v>
      </c>
      <c r="K436" t="s">
        <v>249</v>
      </c>
      <c r="L436" t="s">
        <v>249</v>
      </c>
      <c r="M436" t="s">
        <v>48</v>
      </c>
      <c r="N436">
        <v>2009</v>
      </c>
      <c r="O436">
        <v>2009</v>
      </c>
      <c r="P436" t="s">
        <v>632</v>
      </c>
      <c r="Q436">
        <v>1</v>
      </c>
    </row>
    <row r="437" spans="1:17" ht="17.45" customHeight="1">
      <c r="A437" s="24" t="s">
        <v>205</v>
      </c>
      <c r="B437" t="s">
        <v>295</v>
      </c>
      <c r="C437" t="s">
        <v>652</v>
      </c>
      <c r="D437">
        <v>51223</v>
      </c>
      <c r="E437">
        <v>1759</v>
      </c>
      <c r="F437">
        <f t="shared" si="22"/>
        <v>3.4340042559006696E-2</v>
      </c>
      <c r="G437">
        <v>0.28999999999999998</v>
      </c>
      <c r="H437" t="s">
        <v>232</v>
      </c>
      <c r="I437" t="s">
        <v>249</v>
      </c>
      <c r="J437" t="s">
        <v>249</v>
      </c>
      <c r="K437" t="s">
        <v>249</v>
      </c>
      <c r="L437" t="s">
        <v>249</v>
      </c>
      <c r="M437" t="s">
        <v>48</v>
      </c>
      <c r="N437">
        <v>2010</v>
      </c>
      <c r="O437">
        <v>2010</v>
      </c>
      <c r="P437" t="s">
        <v>620</v>
      </c>
      <c r="Q437">
        <v>1</v>
      </c>
    </row>
    <row r="438" spans="1:17" ht="17.45" customHeight="1">
      <c r="A438" s="24" t="s">
        <v>208</v>
      </c>
      <c r="B438" t="s">
        <v>240</v>
      </c>
      <c r="C438" t="s">
        <v>659</v>
      </c>
      <c r="D438">
        <f>(8596+868)</f>
        <v>9464</v>
      </c>
      <c r="E438">
        <v>5362</v>
      </c>
      <c r="F438">
        <f t="shared" si="22"/>
        <v>0.56656804733727806</v>
      </c>
      <c r="G438">
        <v>0.5</v>
      </c>
      <c r="H438" t="s">
        <v>232</v>
      </c>
      <c r="I438">
        <v>1920</v>
      </c>
      <c r="J438">
        <v>12199</v>
      </c>
      <c r="K438" s="12">
        <f t="shared" ref="K438:K445" si="23">I438/D438</f>
        <v>0.20287404902789519</v>
      </c>
      <c r="L438" s="12">
        <f t="shared" ref="L438:L445" si="24">J438/D438</f>
        <v>1.2889898562975486</v>
      </c>
      <c r="M438" t="s">
        <v>48</v>
      </c>
      <c r="N438">
        <v>2003</v>
      </c>
      <c r="O438">
        <v>2003</v>
      </c>
      <c r="P438" t="s">
        <v>436</v>
      </c>
      <c r="Q438">
        <v>2</v>
      </c>
    </row>
    <row r="439" spans="1:17" ht="17.45" customHeight="1">
      <c r="A439" s="24" t="s">
        <v>208</v>
      </c>
      <c r="B439" t="s">
        <v>240</v>
      </c>
      <c r="C439" t="s">
        <v>660</v>
      </c>
      <c r="D439">
        <v>21559</v>
      </c>
      <c r="E439">
        <v>2925</v>
      </c>
      <c r="F439">
        <f t="shared" si="22"/>
        <v>0.1356741963912983</v>
      </c>
      <c r="G439">
        <v>0.46</v>
      </c>
      <c r="H439" t="s">
        <v>232</v>
      </c>
      <c r="I439">
        <v>1140</v>
      </c>
      <c r="J439">
        <v>6270</v>
      </c>
      <c r="K439" s="12">
        <f t="shared" si="23"/>
        <v>5.2878148337121386E-2</v>
      </c>
      <c r="L439" s="12">
        <f t="shared" si="24"/>
        <v>0.29082981585416762</v>
      </c>
      <c r="M439" t="s">
        <v>48</v>
      </c>
      <c r="N439">
        <v>2004</v>
      </c>
      <c r="O439">
        <v>2004</v>
      </c>
      <c r="P439" t="s">
        <v>436</v>
      </c>
      <c r="Q439">
        <v>2</v>
      </c>
    </row>
    <row r="440" spans="1:17" ht="17.45" customHeight="1">
      <c r="A440" s="24" t="s">
        <v>208</v>
      </c>
      <c r="B440" t="s">
        <v>240</v>
      </c>
      <c r="C440" t="s">
        <v>661</v>
      </c>
      <c r="D440">
        <v>11204</v>
      </c>
      <c r="E440">
        <v>10073</v>
      </c>
      <c r="F440">
        <f t="shared" si="22"/>
        <v>0.8990539093181007</v>
      </c>
      <c r="G440">
        <v>0.31</v>
      </c>
      <c r="H440" t="s">
        <v>232</v>
      </c>
      <c r="I440">
        <v>5333</v>
      </c>
      <c r="J440">
        <v>17474</v>
      </c>
      <c r="K440" s="12">
        <f t="shared" si="23"/>
        <v>0.47599071760085682</v>
      </c>
      <c r="L440" s="12">
        <f t="shared" si="24"/>
        <v>1.5596215637272404</v>
      </c>
      <c r="M440" t="s">
        <v>48</v>
      </c>
      <c r="N440">
        <v>2003</v>
      </c>
      <c r="O440">
        <v>2003</v>
      </c>
      <c r="P440" t="s">
        <v>436</v>
      </c>
      <c r="Q440">
        <v>2</v>
      </c>
    </row>
    <row r="441" spans="1:17" ht="17.45" customHeight="1">
      <c r="A441" s="24" t="s">
        <v>208</v>
      </c>
      <c r="B441" t="s">
        <v>240</v>
      </c>
      <c r="C441" t="s">
        <v>662</v>
      </c>
      <c r="D441">
        <f>2702+2794+1194</f>
        <v>6690</v>
      </c>
      <c r="E441">
        <v>20225</v>
      </c>
      <c r="F441">
        <f t="shared" si="22"/>
        <v>3.0231689088191329</v>
      </c>
      <c r="G441">
        <v>0.36</v>
      </c>
      <c r="H441" t="s">
        <v>232</v>
      </c>
      <c r="I441">
        <v>9471</v>
      </c>
      <c r="J441">
        <v>37096</v>
      </c>
      <c r="K441" s="12">
        <f t="shared" si="23"/>
        <v>1.4156950672645741</v>
      </c>
      <c r="L441" s="12">
        <f t="shared" si="24"/>
        <v>5.5449925261584454</v>
      </c>
      <c r="M441" t="s">
        <v>48</v>
      </c>
      <c r="N441">
        <v>2004</v>
      </c>
      <c r="O441">
        <v>2004</v>
      </c>
      <c r="P441" t="s">
        <v>436</v>
      </c>
      <c r="Q441">
        <v>2</v>
      </c>
    </row>
    <row r="442" spans="1:17" ht="17.45" customHeight="1">
      <c r="A442" s="24" t="s">
        <v>208</v>
      </c>
      <c r="B442" t="s">
        <v>240</v>
      </c>
      <c r="C442" t="s">
        <v>663</v>
      </c>
      <c r="D442">
        <v>56567</v>
      </c>
      <c r="E442">
        <v>6770</v>
      </c>
      <c r="F442">
        <f t="shared" si="22"/>
        <v>0.11968108614563261</v>
      </c>
      <c r="G442">
        <v>0.3</v>
      </c>
      <c r="H442" t="s">
        <v>232</v>
      </c>
      <c r="I442">
        <v>3638</v>
      </c>
      <c r="J442">
        <v>11862</v>
      </c>
      <c r="K442" s="12">
        <f t="shared" si="23"/>
        <v>6.4313115420651615E-2</v>
      </c>
      <c r="L442" s="12">
        <f t="shared" si="24"/>
        <v>0.20969823395265791</v>
      </c>
      <c r="M442" t="s">
        <v>48</v>
      </c>
      <c r="N442">
        <v>2002</v>
      </c>
      <c r="O442">
        <v>2002</v>
      </c>
      <c r="P442" t="s">
        <v>436</v>
      </c>
      <c r="Q442">
        <v>2</v>
      </c>
    </row>
    <row r="443" spans="1:17" ht="17.45" customHeight="1">
      <c r="A443" s="24" t="s">
        <v>208</v>
      </c>
      <c r="B443" t="s">
        <v>240</v>
      </c>
      <c r="C443" t="s">
        <v>664</v>
      </c>
      <c r="D443">
        <v>30628</v>
      </c>
      <c r="E443">
        <v>20871</v>
      </c>
      <c r="F443">
        <f t="shared" si="22"/>
        <v>0.68143528797179054</v>
      </c>
      <c r="G443">
        <v>0.71</v>
      </c>
      <c r="H443" t="s">
        <v>232</v>
      </c>
      <c r="I443">
        <v>4805</v>
      </c>
      <c r="J443">
        <v>59157</v>
      </c>
      <c r="K443" s="12">
        <f t="shared" si="23"/>
        <v>0.15688259109311742</v>
      </c>
      <c r="L443" s="12">
        <f t="shared" si="24"/>
        <v>1.9314679378346611</v>
      </c>
      <c r="M443" t="s">
        <v>48</v>
      </c>
      <c r="N443">
        <v>2002</v>
      </c>
      <c r="O443">
        <v>2002</v>
      </c>
      <c r="P443" t="s">
        <v>436</v>
      </c>
      <c r="Q443">
        <v>2</v>
      </c>
    </row>
    <row r="444" spans="1:17" ht="17.45" customHeight="1">
      <c r="A444" s="24" t="s">
        <v>208</v>
      </c>
      <c r="B444" t="s">
        <v>240</v>
      </c>
      <c r="C444" t="s">
        <v>665</v>
      </c>
      <c r="D444">
        <f>SUM(D442:D443)</f>
        <v>87195</v>
      </c>
      <c r="E444">
        <v>27656</v>
      </c>
      <c r="F444">
        <f t="shared" si="22"/>
        <v>0.31717414989391596</v>
      </c>
      <c r="G444">
        <v>0.54</v>
      </c>
      <c r="H444" t="s">
        <v>232</v>
      </c>
      <c r="I444">
        <v>9080</v>
      </c>
      <c r="J444">
        <v>66061</v>
      </c>
      <c r="K444" s="12">
        <f t="shared" si="23"/>
        <v>0.10413441137679913</v>
      </c>
      <c r="L444" s="12">
        <f t="shared" si="24"/>
        <v>0.75762371695624753</v>
      </c>
      <c r="M444" t="s">
        <v>48</v>
      </c>
      <c r="N444">
        <v>2002</v>
      </c>
      <c r="O444">
        <v>2002</v>
      </c>
      <c r="P444" t="s">
        <v>436</v>
      </c>
      <c r="Q444">
        <v>2</v>
      </c>
    </row>
    <row r="445" spans="1:17" ht="17.45" customHeight="1">
      <c r="A445" s="24" t="s">
        <v>211</v>
      </c>
      <c r="B445" t="s">
        <v>294</v>
      </c>
      <c r="C445" t="s">
        <v>452</v>
      </c>
      <c r="D445">
        <v>125635</v>
      </c>
      <c r="E445">
        <v>10595</v>
      </c>
      <c r="F445">
        <f t="shared" si="22"/>
        <v>8.4331595494885975E-2</v>
      </c>
      <c r="G445" t="s">
        <v>249</v>
      </c>
      <c r="H445" t="s">
        <v>249</v>
      </c>
      <c r="I445">
        <v>4904</v>
      </c>
      <c r="J445">
        <v>24650</v>
      </c>
      <c r="K445" s="12">
        <f t="shared" si="23"/>
        <v>3.9033708759501733E-2</v>
      </c>
      <c r="L445" s="12">
        <f t="shared" si="24"/>
        <v>0.1962032873005134</v>
      </c>
      <c r="M445" t="s">
        <v>48</v>
      </c>
      <c r="N445">
        <v>2006</v>
      </c>
      <c r="O445">
        <v>2006</v>
      </c>
      <c r="P445" t="s">
        <v>666</v>
      </c>
      <c r="Q445">
        <v>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Citation</vt:lpstr>
      <vt:lpstr>Processed data sources</vt:lpstr>
      <vt:lpstr>Extracted density estimates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Katarina Klementisova</dc:creator>
  <cp:keywords/>
  <dc:description/>
  <cp:lastModifiedBy>Anna Stevens</cp:lastModifiedBy>
  <cp:revision/>
  <dcterms:created xsi:type="dcterms:W3CDTF">2015-06-05T18:17:20Z</dcterms:created>
  <dcterms:modified xsi:type="dcterms:W3CDTF">2023-06-02T14:53:46Z</dcterms:modified>
  <cp:category/>
  <cp:contentStatus/>
</cp:coreProperties>
</file>